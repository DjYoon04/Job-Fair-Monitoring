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MW OFFICE RELATED-Ajean\1. CORE FUNCTIONS\JOB FAIR CONCERNS\2026\JOB FAIR REPORT\"/>
    </mc:Choice>
  </mc:AlternateContent>
  <xr:revisionPtr revIDLastSave="0" documentId="13_ncr:1_{191CE2AB-2D10-4B56-9439-6F0DAB657E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4" r:id="rId1"/>
    <sheet name="MONITORING" sheetId="27" r:id="rId2"/>
    <sheet name="FEB" sheetId="16" r:id="rId3"/>
    <sheet name="MAR" sheetId="25" r:id="rId4"/>
    <sheet name="APR" sheetId="28" r:id="rId5"/>
  </sheets>
  <definedNames>
    <definedName name="_xlnm.Print_Area" localSheetId="4">APR!$A$3:$N$40</definedName>
    <definedName name="_xlnm.Print_Area" localSheetId="2">FEB!$A$2:$N$30</definedName>
    <definedName name="_xlnm.Print_Area" localSheetId="3">MAR!$A$3:$N$42</definedName>
    <definedName name="_xlnm.Print_Area" localSheetId="0">SUMMARY!$A$3:$G$42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28" l="1"/>
  <c r="F32" i="28"/>
  <c r="I32" i="28"/>
  <c r="L32" i="28"/>
  <c r="M32" i="28"/>
  <c r="N32" i="28"/>
  <c r="E32" i="28"/>
  <c r="G24" i="28"/>
  <c r="I24" i="28"/>
  <c r="J24" i="28"/>
  <c r="L24" i="28"/>
  <c r="M24" i="28"/>
  <c r="F24" i="28"/>
  <c r="N23" i="28"/>
  <c r="N24" i="28" s="1"/>
  <c r="K23" i="28"/>
  <c r="K24" i="28" s="1"/>
  <c r="H23" i="28"/>
  <c r="N19" i="28"/>
  <c r="N20" i="28"/>
  <c r="K19" i="28"/>
  <c r="K20" i="28"/>
  <c r="H19" i="28"/>
  <c r="H20" i="28"/>
  <c r="G21" i="28"/>
  <c r="I21" i="28"/>
  <c r="J21" i="28"/>
  <c r="L21" i="28"/>
  <c r="M21" i="28"/>
  <c r="F21" i="28"/>
  <c r="E21" i="28"/>
  <c r="B11" i="24"/>
  <c r="M31" i="28"/>
  <c r="L31" i="28"/>
  <c r="J31" i="28"/>
  <c r="I31" i="28"/>
  <c r="G31" i="28"/>
  <c r="F31" i="28"/>
  <c r="E31" i="28"/>
  <c r="N30" i="28"/>
  <c r="K30" i="28"/>
  <c r="N29" i="28"/>
  <c r="N31" i="28" s="1"/>
  <c r="K29" i="28"/>
  <c r="H29" i="28"/>
  <c r="H31" i="28" s="1"/>
  <c r="M28" i="28"/>
  <c r="L28" i="28"/>
  <c r="J28" i="28"/>
  <c r="I28" i="28"/>
  <c r="G28" i="28"/>
  <c r="F28" i="28"/>
  <c r="E28" i="28"/>
  <c r="N27" i="28"/>
  <c r="K27" i="28"/>
  <c r="N26" i="28"/>
  <c r="K26" i="28"/>
  <c r="N25" i="28"/>
  <c r="K25" i="28"/>
  <c r="H25" i="28"/>
  <c r="H28" i="28" s="1"/>
  <c r="E24" i="28"/>
  <c r="N22" i="28"/>
  <c r="K22" i="28"/>
  <c r="H22" i="28"/>
  <c r="H24" i="28" s="1"/>
  <c r="N18" i="28"/>
  <c r="K18" i="28"/>
  <c r="H18" i="28"/>
  <c r="M17" i="28"/>
  <c r="L17" i="28"/>
  <c r="J17" i="28"/>
  <c r="J32" i="28" s="1"/>
  <c r="I17" i="28"/>
  <c r="G17" i="28"/>
  <c r="G32" i="28" s="1"/>
  <c r="F17" i="28"/>
  <c r="E17" i="28"/>
  <c r="N16" i="28"/>
  <c r="N17" i="28" s="1"/>
  <c r="K16" i="28"/>
  <c r="K17" i="28" s="1"/>
  <c r="K32" i="28" s="1"/>
  <c r="H17" i="28"/>
  <c r="H32" i="28" s="1"/>
  <c r="M33" i="25"/>
  <c r="L33" i="25"/>
  <c r="J33" i="25"/>
  <c r="I33" i="25"/>
  <c r="G33" i="25"/>
  <c r="F33" i="25"/>
  <c r="E33" i="25"/>
  <c r="N32" i="25"/>
  <c r="K32" i="25"/>
  <c r="N31" i="25"/>
  <c r="K31" i="25"/>
  <c r="K33" i="25" s="1"/>
  <c r="H31" i="25"/>
  <c r="H33" i="25" s="1"/>
  <c r="N29" i="25"/>
  <c r="N25" i="25"/>
  <c r="N26" i="25"/>
  <c r="N24" i="25"/>
  <c r="J27" i="25"/>
  <c r="L27" i="25"/>
  <c r="M27" i="25"/>
  <c r="I27" i="25"/>
  <c r="K25" i="25"/>
  <c r="K26" i="25"/>
  <c r="M30" i="25"/>
  <c r="L30" i="25"/>
  <c r="J30" i="25"/>
  <c r="I30" i="25"/>
  <c r="G30" i="25"/>
  <c r="F30" i="25"/>
  <c r="E30" i="25"/>
  <c r="G27" i="25"/>
  <c r="F27" i="25"/>
  <c r="E27" i="25"/>
  <c r="N22" i="25"/>
  <c r="N23" i="25" s="1"/>
  <c r="M23" i="25"/>
  <c r="L23" i="25"/>
  <c r="J23" i="25"/>
  <c r="I23" i="25"/>
  <c r="G23" i="25"/>
  <c r="F23" i="25"/>
  <c r="E23" i="25"/>
  <c r="N20" i="25"/>
  <c r="N21" i="25" s="1"/>
  <c r="M21" i="25"/>
  <c r="L21" i="25"/>
  <c r="J21" i="25"/>
  <c r="I21" i="25"/>
  <c r="G21" i="25"/>
  <c r="F21" i="25"/>
  <c r="E21" i="25"/>
  <c r="M19" i="25"/>
  <c r="M34" i="25" s="1"/>
  <c r="L19" i="25"/>
  <c r="G19" i="25"/>
  <c r="I19" i="25"/>
  <c r="J19" i="25"/>
  <c r="F19" i="25"/>
  <c r="E19" i="25"/>
  <c r="E34" i="25" s="1"/>
  <c r="H24" i="25"/>
  <c r="H27" i="25" s="1"/>
  <c r="K24" i="25"/>
  <c r="K27" i="25" s="1"/>
  <c r="K17" i="25"/>
  <c r="K18" i="25"/>
  <c r="K20" i="25"/>
  <c r="K21" i="25" s="1"/>
  <c r="K22" i="25"/>
  <c r="K23" i="25" s="1"/>
  <c r="K28" i="25"/>
  <c r="K29" i="25"/>
  <c r="H20" i="25"/>
  <c r="H21" i="25" s="1"/>
  <c r="H22" i="25"/>
  <c r="H23" i="25" s="1"/>
  <c r="H28" i="25"/>
  <c r="G15" i="16"/>
  <c r="G16" i="16" s="1"/>
  <c r="J16" i="16"/>
  <c r="F15" i="16"/>
  <c r="M21" i="16"/>
  <c r="L21" i="16"/>
  <c r="J21" i="16"/>
  <c r="J22" i="16" s="1"/>
  <c r="I21" i="16"/>
  <c r="G21" i="16"/>
  <c r="F21" i="16"/>
  <c r="E21" i="16"/>
  <c r="M16" i="16"/>
  <c r="L16" i="16"/>
  <c r="I16" i="16"/>
  <c r="E16" i="16"/>
  <c r="E22" i="16" s="1"/>
  <c r="N28" i="25"/>
  <c r="N18" i="25"/>
  <c r="N17" i="25"/>
  <c r="N16" i="25"/>
  <c r="N19" i="25" s="1"/>
  <c r="K16" i="25"/>
  <c r="H16" i="25"/>
  <c r="H19" i="25" s="1"/>
  <c r="N18" i="16"/>
  <c r="N19" i="16"/>
  <c r="K18" i="16"/>
  <c r="K19" i="16"/>
  <c r="H17" i="16"/>
  <c r="H21" i="16" s="1"/>
  <c r="E12" i="24"/>
  <c r="E13" i="24"/>
  <c r="E14" i="24"/>
  <c r="C22" i="24"/>
  <c r="D22" i="24"/>
  <c r="F22" i="24"/>
  <c r="B22" i="24"/>
  <c r="E18" i="24"/>
  <c r="G22" i="24"/>
  <c r="G15" i="24"/>
  <c r="K17" i="16"/>
  <c r="N17" i="16"/>
  <c r="N20" i="16"/>
  <c r="K20" i="16"/>
  <c r="N15" i="16"/>
  <c r="N16" i="16" s="1"/>
  <c r="K15" i="16"/>
  <c r="K16" i="16" s="1"/>
  <c r="L34" i="25" l="1"/>
  <c r="F11" i="24" s="1"/>
  <c r="K21" i="28"/>
  <c r="N21" i="28"/>
  <c r="H21" i="28"/>
  <c r="K28" i="28"/>
  <c r="K31" i="28"/>
  <c r="N28" i="28"/>
  <c r="J34" i="25"/>
  <c r="I34" i="25"/>
  <c r="G34" i="25"/>
  <c r="D11" i="24" s="1"/>
  <c r="F34" i="25"/>
  <c r="C11" i="24" s="1"/>
  <c r="N33" i="25"/>
  <c r="N27" i="25"/>
  <c r="N34" i="25" s="1"/>
  <c r="H30" i="25"/>
  <c r="H34" i="25" s="1"/>
  <c r="M22" i="16"/>
  <c r="L22" i="16"/>
  <c r="F10" i="24" s="1"/>
  <c r="F15" i="24" s="1"/>
  <c r="F23" i="24" s="1"/>
  <c r="N30" i="25"/>
  <c r="K30" i="25"/>
  <c r="K19" i="25"/>
  <c r="N21" i="16"/>
  <c r="N22" i="16" s="1"/>
  <c r="G22" i="16"/>
  <c r="D10" i="24" s="1"/>
  <c r="K21" i="16"/>
  <c r="K22" i="16" s="1"/>
  <c r="I22" i="16"/>
  <c r="F16" i="16"/>
  <c r="F22" i="16" s="1"/>
  <c r="C10" i="24" s="1"/>
  <c r="H15" i="16"/>
  <c r="H16" i="16" s="1"/>
  <c r="H22" i="16" s="1"/>
  <c r="G23" i="24"/>
  <c r="E9" i="24"/>
  <c r="E17" i="24"/>
  <c r="B15" i="24"/>
  <c r="B23" i="24" s="1"/>
  <c r="E19" i="24"/>
  <c r="E16" i="24"/>
  <c r="E21" i="24"/>
  <c r="E20" i="24"/>
  <c r="E11" i="24" l="1"/>
  <c r="D15" i="24"/>
  <c r="D23" i="24" s="1"/>
  <c r="K34" i="25"/>
  <c r="C15" i="24"/>
  <c r="C23" i="24" s="1"/>
  <c r="E10" i="24"/>
  <c r="E22" i="24"/>
  <c r="E15" i="24" l="1"/>
  <c r="E23" i="24" s="1"/>
</calcChain>
</file>

<file path=xl/sharedStrings.xml><?xml version="1.0" encoding="utf-8"?>
<sst xmlns="http://schemas.openxmlformats.org/spreadsheetml/2006/main" count="341" uniqueCount="198">
  <si>
    <t>REMARKS</t>
  </si>
  <si>
    <t>JENERICK INTERNATIONAL MANPOWER INC.</t>
  </si>
  <si>
    <t>MMML RECRUITMENT SERVICES INC.</t>
  </si>
  <si>
    <t>FEMALE</t>
  </si>
  <si>
    <t>NO. OF JOBS FAIR FACILITATED/ SUPERVISED</t>
  </si>
  <si>
    <t>NUMBER OF REGISTERED APPLICANTS</t>
  </si>
  <si>
    <t xml:space="preserve">MALE </t>
  </si>
  <si>
    <t>NUMBER OF PARTICIPATING AGENCIES</t>
  </si>
  <si>
    <t>LAND BASED RECRUITMENT AGENCY</t>
  </si>
  <si>
    <t>SEA-BASED/ MANNING AGENCY</t>
  </si>
  <si>
    <t>TOTAL:</t>
  </si>
  <si>
    <t xml:space="preserve"> JOB FAIR DATES</t>
  </si>
  <si>
    <t xml:space="preserve"> JOB FAIR VENUE</t>
  </si>
  <si>
    <t>GRAND TOTAL:</t>
  </si>
  <si>
    <t>Sub total:</t>
  </si>
  <si>
    <t>Prepared by:</t>
  </si>
  <si>
    <t>AURORA JEAN A. TORRALBA</t>
  </si>
  <si>
    <t>Labor and Employment Officer I</t>
  </si>
  <si>
    <t>Noted by:</t>
  </si>
  <si>
    <t>JOB FAIR REPORT</t>
  </si>
  <si>
    <t>AGENCY/ INSTITUTION</t>
  </si>
  <si>
    <t>SAINT MICHAEL COLLEGE OF CARAGA</t>
  </si>
  <si>
    <t>DIMENSION-ALL MANPOWER INC.</t>
  </si>
  <si>
    <t>MUNICIPALITY OF MADRID, SURIGAO DEL SUR</t>
  </si>
  <si>
    <t>SMC MANPOWER AGENCY PHILIPPINES COMPANY</t>
  </si>
  <si>
    <t>MONTHS</t>
  </si>
  <si>
    <t>JANUARY</t>
  </si>
  <si>
    <t>FEBRUARY</t>
  </si>
  <si>
    <t>MARCH</t>
  </si>
  <si>
    <t>APRIL</t>
  </si>
  <si>
    <t xml:space="preserve">MAY </t>
  </si>
  <si>
    <t>JUNE</t>
  </si>
  <si>
    <t>JULY</t>
  </si>
  <si>
    <t xml:space="preserve">AUGUST </t>
  </si>
  <si>
    <t>SEPTEMBER</t>
  </si>
  <si>
    <t xml:space="preserve">OCTOBER </t>
  </si>
  <si>
    <t>NOVEMBER</t>
  </si>
  <si>
    <t>DECEMBER</t>
  </si>
  <si>
    <t>Approved by:</t>
  </si>
  <si>
    <t>RITCHEL M. BUTAO</t>
  </si>
  <si>
    <t>OIC-Regional Director</t>
  </si>
  <si>
    <t>MIGRANT WORKERS PROCESSING DIVISION</t>
  </si>
  <si>
    <t>REGIENALD S. ESPALDON, CPA</t>
  </si>
  <si>
    <t>OIC-Assistant Regional Director</t>
  </si>
  <si>
    <t>Chief Administrative Officer and</t>
  </si>
  <si>
    <t>SUMMARY OF JOBS FAIR FACILITATED/ SUPERVISED REPORT</t>
  </si>
  <si>
    <t xml:space="preserve"> </t>
  </si>
  <si>
    <t>SUB TOTAL:</t>
  </si>
  <si>
    <t>FY 2026</t>
  </si>
  <si>
    <t>FOR THE MONTH OF FEBRUARY 2026</t>
  </si>
  <si>
    <t>NUMBER OF REGISTERED APPLICANTS PER TERMINAL REPORT</t>
  </si>
  <si>
    <t>Reviewed By:</t>
  </si>
  <si>
    <t>and OIC- Chief Labor and Employment Officer</t>
  </si>
  <si>
    <t>CITY SOCIAL HALL, PEOPLE'S GOVERNMENT CENTER, CABADBARAN CITY</t>
  </si>
  <si>
    <t>RECRUTIMENT AGENCIES</t>
  </si>
  <si>
    <t>LOCAL GOVERNMENT UNIT OF CABADBARAN</t>
  </si>
  <si>
    <t>ROBINSONS MALL BUTUAN, JC. AQUINO AVE., BUTUAN CITY</t>
  </si>
  <si>
    <t>LOCAL GOVERNMENT UNIT OF BUTUAN</t>
  </si>
  <si>
    <t>MYRIAD HUMAN RESOURCES &amp; SERVICES INC.</t>
  </si>
  <si>
    <t>JFA NO.</t>
  </si>
  <si>
    <t>MONITORED BY:</t>
  </si>
  <si>
    <t>IJEP</t>
  </si>
  <si>
    <t>JNPE</t>
  </si>
  <si>
    <t>MAG</t>
  </si>
  <si>
    <t>JBRCV</t>
  </si>
  <si>
    <t>AJAT</t>
  </si>
  <si>
    <t>EP</t>
  </si>
  <si>
    <t>FOR THE MONTH OF MARCH 2026</t>
  </si>
  <si>
    <t>BUT-26-0203-002</t>
  </si>
  <si>
    <t>BUT-26-0213-005</t>
  </si>
  <si>
    <t>BUT-26-0213-008</t>
  </si>
  <si>
    <t>BUT-26-0213-009</t>
  </si>
  <si>
    <t>BUT-26-0219-012</t>
  </si>
  <si>
    <t>March 5-6, 2026</t>
  </si>
  <si>
    <t>MUNICIPAL COVERED COURT, SAN JOSE BUILDING COMPOUND, P-4 BRGY. STA. CRUZ, SAN JOSE, PROVINCE OF DINAGAT ISLANDS</t>
  </si>
  <si>
    <t>STAR WORLD INTERNATIONAL MANPOWER &amp; PLACEMENT AGENCY, INC.</t>
  </si>
  <si>
    <t>MUNICIPALITY OF PROSPERIDAD, AGUSAN DEL SUR</t>
  </si>
  <si>
    <t>MUNICIPALITY OF SAN JOSE, DINAGAT ISLANDS</t>
  </si>
  <si>
    <t>BUT-26-0210-003</t>
  </si>
  <si>
    <t>BUT-26-0213-006</t>
  </si>
  <si>
    <t>BUT-26-0216-011</t>
  </si>
  <si>
    <t>..\JOB FAIR ACTIVITIES\2. MARCH\Mar. 5-6, 2026- San Jose, PDI</t>
  </si>
  <si>
    <t>..\JOB FAIR ACTIVITIES\1. FEBRUARY\2-23-26- CBR</t>
  </si>
  <si>
    <t>..\JOB FAIR ACTIVITIES\1. FEBRUARY\2-26-26- BUTUAN</t>
  </si>
  <si>
    <t>SMCC QUADRANGLE, ATUPAN ST., BRGY. 4, NASIPIT, AGUSAN DEL NORTE</t>
  </si>
  <si>
    <t>..\JOB FAIR ACTIVITIES\2. MARCH\Mar. 12, 2026- SMCC</t>
  </si>
  <si>
    <t>..\JOB FAIR ACTIVITIES\2. MARCH\Mar. 6, 2026- Prosperidad, ADS</t>
  </si>
  <si>
    <t>..\JOB FAIR ACTIVITIES\2. MARCH\Mar. 19-20, 2026- Cagdianao, PDI</t>
  </si>
  <si>
    <t>CULTURAL AND SPORTS CENTER, CAGDIANAO, PROVINCE OF DINAGAT ISLANDS</t>
  </si>
  <si>
    <t>MUNICIPALITY OF CAGDIANAO, DINAGAT ISLANDS</t>
  </si>
  <si>
    <t>INITIAL</t>
  </si>
  <si>
    <t>2026 JOB FAIR MONITORING</t>
  </si>
  <si>
    <t>NO.</t>
  </si>
  <si>
    <t>IMPLEMENTING AGENCY</t>
  </si>
  <si>
    <t>JOB FAIR DATE/S</t>
  </si>
  <si>
    <t>JOB FAIR VENUE</t>
  </si>
  <si>
    <t>DATE</t>
  </si>
  <si>
    <t>FERBUARY</t>
  </si>
  <si>
    <t>LGU-CABADBARAN CITY</t>
  </si>
  <si>
    <t>LGU- BUTUAN CITY</t>
  </si>
  <si>
    <t>COMMUNICATION LETTER RECEIVED</t>
  </si>
  <si>
    <t>CONFIRMATION DEADLINE IN THE IMPLEMENTING AGENCY</t>
  </si>
  <si>
    <t>NOT SPECIFY</t>
  </si>
  <si>
    <t>MUNICIPALITY OF SAN JOSE, PDI</t>
  </si>
  <si>
    <t>EMAILED THE TRANSMITTAL LETTER WITH JOB ORDER SUMMARY</t>
  </si>
  <si>
    <t>EMAILED THE INVITATION LETTERS TO RECRUITMENT AGENCIES</t>
  </si>
  <si>
    <t>DATU LIPUS MAKAPANDONG CULTURAL CENTER, GOVERNOR DEMOCRITO O. PLAZA GOVERNMENT CENTER, PROSPERIDAD, AGUSAN DEL SUR</t>
  </si>
  <si>
    <t>MUNICIPALITY OF PROSPERIDAD, ADS</t>
  </si>
  <si>
    <t>EVIDENCE</t>
  </si>
  <si>
    <t>CARAGA STATE UNIVERSITY CABADBARAN CAMPUS</t>
  </si>
  <si>
    <t>CSUCC GYMANSIUM, CABADBARAN CITY</t>
  </si>
  <si>
    <t>..\JOB FAIR ACTIVITIES\3. APRIL\4-23-26- CSUCC</t>
  </si>
  <si>
    <t>MAY</t>
  </si>
  <si>
    <t>MADRID, SURIGAO DEL SUR</t>
  </si>
  <si>
    <t>..\JOB FAIR ACTIVITIES\4. MAY\5-6-26- MADRID</t>
  </si>
  <si>
    <t>NO. OF JOB FAIRS FACILITATED/ SUPERVISED</t>
  </si>
  <si>
    <t xml:space="preserve"> JOB FAIR DATE</t>
  </si>
  <si>
    <t>FATHER SATURNINO URIOS UNIVERSITY</t>
  </si>
  <si>
    <t>FSUU GYMNASIUN, JC. AQUINO AVENUE, BUTUAN CITY</t>
  </si>
  <si>
    <t>CAMOX PHILIPPINES INC.</t>
  </si>
  <si>
    <t>FATHER SATURNINO URIOS UNIVERSITY GYMNASIUM, JC. AQUINO AVE., BUTUAN CITY</t>
  </si>
  <si>
    <t>..\JOB FAIR ACTIVITIES\2. MARCH\Mar. 11, 2026- FSUU</t>
  </si>
  <si>
    <t>MUNICIPAL GYMNASIUM, CAGDIANAO, PROVINCE OF DINAGAT ISLANDS</t>
  </si>
  <si>
    <t>BUT-26-0227-019</t>
  </si>
  <si>
    <t>BUT-26-0304-021</t>
  </si>
  <si>
    <t>March 24-25, 2026</t>
  </si>
  <si>
    <t>LGU- SAN LUIS, AGUSAN DEL SUR</t>
  </si>
  <si>
    <t>LORETO INTEGRATED BUS TERMINAL, AGUSAN DEL SUR</t>
  </si>
  <si>
    <t>CELEBRATION/ EVENT</t>
  </si>
  <si>
    <t>19TH DAGKOT FESTIVAL</t>
  </si>
  <si>
    <t>61ST FOUNDATION DAY ANNIVERSARY AND 21ST UMAJAM FESTIVAL</t>
  </si>
  <si>
    <t>NATIONAL WOMEN'S MONTH</t>
  </si>
  <si>
    <t>3RD YAMBAGAN FESTIVAL</t>
  </si>
  <si>
    <t>AMPI THEATER, DOÑA MAXIMA, SAN LUIS, AGUSAN DEL SUR</t>
  </si>
  <si>
    <t>..\JOB FAIR ACTIVITIES\2. MARCH\Mar. 30, 2026- Loreto, ADS</t>
  </si>
  <si>
    <t>..\JOB FAIR ACTIVITIES\3. APRIL\4-9-26- SAN LUIS</t>
  </si>
  <si>
    <t>BUT-26-0220-014</t>
  </si>
  <si>
    <t>BUT-26-0225-016</t>
  </si>
  <si>
    <t>BUT-26-0225-017</t>
  </si>
  <si>
    <t>AL-ALAMIA INTERNATIONAL MANPOWER SERVICES</t>
  </si>
  <si>
    <t>MAANYAG INTERNATIONAL MANPOWER CORPORATION</t>
  </si>
  <si>
    <t>BUT-26-0318-022</t>
  </si>
  <si>
    <t>BUT-26-0226-018</t>
  </si>
  <si>
    <t>KALIGA FESTIVAL CENTER, LA PAZ, AGUSAN DEL SUR</t>
  </si>
  <si>
    <t>KALIGA 2026 FESTIVAL</t>
  </si>
  <si>
    <t>..\ACTIVITIES\2. MARCH\Mar. 30, 2026- La Paz, ADS</t>
  </si>
  <si>
    <t>LGU- NASIPIT, AGUSAN DEL NORTE</t>
  </si>
  <si>
    <t>NASIPIT MUNICIPAL GYM, NASIPIT, AGUSAN DEL NORTE</t>
  </si>
  <si>
    <t>..\ACTIVITIES\2. MARCH\Mar. 27, 2026- Nasipit, ADN</t>
  </si>
  <si>
    <t>LGU-NASIPIT, AGUSAN DEL NORTE</t>
  </si>
  <si>
    <t>BUT-26-0325-025</t>
  </si>
  <si>
    <t>BUT-26-0324-023</t>
  </si>
  <si>
    <t>LGU- VERUELA, AGUSAN DEL SUR</t>
  </si>
  <si>
    <t>LEARNING AND TOURISM DISPLAY CENTER AND MULTI PURPOSE HALL, BARANGAY POBLACION, VERUELA, AGUSAN DEL SUR</t>
  </si>
  <si>
    <t>KADUJAWAN FESTIVAL</t>
  </si>
  <si>
    <t>..\ACTIVITIES\3. APRIL\4-6-26- VERUELA</t>
  </si>
  <si>
    <t>AGUSAN DEL SUR COLLEGE, INC.</t>
  </si>
  <si>
    <t>ADSCO, BAYUGAN CITY</t>
  </si>
  <si>
    <t>CSU- HERO LEARNING COMMONS, THIRD FLOOR, CARAGA STATE UNIVERSITY, AMPAYO, BUTUAN CITY</t>
  </si>
  <si>
    <t>..\ACTIVITIES\3. APRIL\4-13-26- ADSCO</t>
  </si>
  <si>
    <t>..\ACTIVITIES\3. APRIL\4-23-26- CSUCC</t>
  </si>
  <si>
    <t>SERVICES</t>
  </si>
  <si>
    <t>CONDUCT OF PEOS</t>
  </si>
  <si>
    <t>MR. PAQUEO</t>
  </si>
  <si>
    <t>MR. ENSOMO</t>
  </si>
  <si>
    <t>PESO- SAN JOSE</t>
  </si>
  <si>
    <t>PESO- CAGDIANAO</t>
  </si>
  <si>
    <t>JOB FAIR</t>
  </si>
  <si>
    <t>JOB FAIR FOR GRADUATING STUDENTS</t>
  </si>
  <si>
    <t>LGU- LORETO, AGUSAN DEL SUR</t>
  </si>
  <si>
    <t>LGU- LA PAZ, AGUSAN DEL SUR</t>
  </si>
  <si>
    <t>JOB FAIR MONITORING</t>
  </si>
  <si>
    <t>NO AGENCIES ATTENDED AND NO MONITORING CONDUCTED</t>
  </si>
  <si>
    <t>MS. VILLARINO</t>
  </si>
  <si>
    <t>MUNICIPALITY OF VERUELA, AGUSAN DEL SUR</t>
  </si>
  <si>
    <t>LEARNING AND TOURISM DISPLAY CENTER AND MULTI PURPOSE HALL, BRGY. POBLACION, VERUELA, AGUSAN DEL SUR</t>
  </si>
  <si>
    <t>BUT-26-0327-027</t>
  </si>
  <si>
    <t>BUT-26-0325-026</t>
  </si>
  <si>
    <t xml:space="preserve">LGH INTERNATIONAL SERVICES, INC. </t>
  </si>
  <si>
    <t>BUT-26-0327-028</t>
  </si>
  <si>
    <t>BUT-26-0327-029</t>
  </si>
  <si>
    <t>BUT-26-0327-030</t>
  </si>
  <si>
    <t>BUT-26-0331-032</t>
  </si>
  <si>
    <t>CARAGA STATE UNIVERSITY- MAIN CAMPUS</t>
  </si>
  <si>
    <t>PESO- VERUELA</t>
  </si>
  <si>
    <t>BUT-26-0327-031</t>
  </si>
  <si>
    <t>BUT-26-0331-033</t>
  </si>
  <si>
    <t>BUT-26-0220-015</t>
  </si>
  <si>
    <t>PESO-SAN LUIS</t>
  </si>
  <si>
    <t>PESO-BAYUGAN</t>
  </si>
  <si>
    <t>CSUC-MAIN</t>
  </si>
  <si>
    <t>CSUCC</t>
  </si>
  <si>
    <t>DOLE-SDSFO</t>
  </si>
  <si>
    <t>AUGUST</t>
  </si>
  <si>
    <t>LOCAL GOVERNMENT UNIT OF SAN AGUSTIN, SURIGAO DEL SUR</t>
  </si>
  <si>
    <t>AUGUST 21-22, 2026</t>
  </si>
  <si>
    <t>SB SESSION HALL, SAN AGUSTIN, SURIGAO DEL SUR</t>
  </si>
  <si>
    <t>11TH KALUMONAN CULTURAL AND TOURISM DEVELOPMENT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</si>
</sst>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i/>
      <sz val="10"/>
      <color theme="1"/>
      <name val="Tahoma"/>
      <family val="2"/>
    </font>
    <font>
      <b/>
      <sz val="14"/>
      <color theme="1"/>
      <name val="Tahoma"/>
      <family val="2"/>
    </font>
    <font>
      <i/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color rgb="FF0000FF"/>
      <name val="Tahoma"/>
      <family val="2"/>
    </font>
    <font>
      <b/>
      <i/>
      <sz val="11"/>
      <color theme="1"/>
      <name val="Tahoma"/>
      <family val="2"/>
    </font>
    <font>
      <b/>
      <sz val="11"/>
      <color rgb="FF0000FF"/>
      <name val="Tahoma"/>
      <family val="2"/>
    </font>
    <font>
      <sz val="12"/>
      <color theme="1"/>
      <name val="Tahoma"/>
      <family val="2"/>
    </font>
    <font>
      <b/>
      <i/>
      <sz val="12"/>
      <color theme="1"/>
      <name val="Tahoma"/>
      <family val="2"/>
    </font>
    <font>
      <b/>
      <sz val="12"/>
      <color rgb="FF0000FF"/>
      <name val="Tahoma"/>
      <family val="2"/>
    </font>
    <font>
      <sz val="11"/>
      <color rgb="FF0000FF"/>
      <name val="Tahoma"/>
      <family val="2"/>
    </font>
    <font>
      <sz val="14"/>
      <color theme="1"/>
      <name val="Tahoma"/>
      <family val="2"/>
    </font>
    <font>
      <b/>
      <sz val="16"/>
      <color theme="1"/>
      <name val="Tahoma"/>
      <family val="2"/>
    </font>
    <font>
      <sz val="8"/>
      <name val="Calibri"/>
      <charset val="134"/>
      <scheme val="minor"/>
    </font>
    <font>
      <b/>
      <sz val="10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  <font>
      <sz val="14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  <xf numFmtId="0" fontId="6" fillId="0" borderId="0" xfId="0" applyFont="1"/>
    <xf numFmtId="0" fontId="3" fillId="5" borderId="1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" fontId="3" fillId="5" borderId="18" xfId="0" applyNumberFormat="1" applyFont="1" applyFill="1" applyBorder="1" applyAlignment="1">
      <alignment horizontal="center" vertical="center" wrapText="1"/>
    </xf>
    <xf numFmtId="0" fontId="7" fillId="0" borderId="3" xfId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15" fontId="9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 indent="9"/>
    </xf>
    <xf numFmtId="0" fontId="4" fillId="0" borderId="0" xfId="0" applyFont="1"/>
    <xf numFmtId="0" fontId="9" fillId="0" borderId="0" xfId="0" applyFont="1" applyAlignment="1">
      <alignment horizont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left" vertical="center" wrapText="1" indent="9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 vertical="center" indent="9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vertical="center"/>
    </xf>
    <xf numFmtId="164" fontId="8" fillId="7" borderId="3" xfId="0" applyNumberFormat="1" applyFont="1" applyFill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3" xfId="0" quotePrefix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15" fillId="6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vertic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vertical="center" wrapText="1"/>
    </xf>
    <xf numFmtId="0" fontId="13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9" fillId="6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9" fillId="0" borderId="6" xfId="0" applyFont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0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0" borderId="3" xfId="1" applyFill="1" applyBorder="1" applyAlignment="1">
      <alignment horizontal="left" vertical="center" wrapText="1"/>
    </xf>
    <xf numFmtId="164" fontId="22" fillId="7" borderId="3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3" xfId="1" applyFont="1" applyBorder="1" applyAlignment="1">
      <alignment horizontal="center" vertical="center" wrapText="1"/>
    </xf>
    <xf numFmtId="0" fontId="24" fillId="0" borderId="3" xfId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4" fontId="23" fillId="7" borderId="3" xfId="0" applyNumberFormat="1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164" fontId="9" fillId="8" borderId="3" xfId="0" applyNumberFormat="1" applyFont="1" applyFill="1" applyBorder="1" applyAlignment="1">
      <alignment horizontal="center" vertical="center" wrapText="1"/>
    </xf>
    <xf numFmtId="0" fontId="7" fillId="8" borderId="3" xfId="1" applyFill="1" applyBorder="1" applyAlignment="1">
      <alignment horizontal="left" vertical="center" wrapText="1"/>
    </xf>
    <xf numFmtId="0" fontId="24" fillId="8" borderId="3" xfId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/>
    </xf>
    <xf numFmtId="0" fontId="9" fillId="0" borderId="25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9" borderId="0" xfId="0" applyFont="1" applyFill="1" applyAlignment="1">
      <alignment wrapText="1"/>
    </xf>
    <xf numFmtId="164" fontId="2" fillId="9" borderId="0" xfId="0" applyNumberFormat="1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/>
    <xf numFmtId="0" fontId="3" fillId="9" borderId="22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1" fontId="2" fillId="9" borderId="0" xfId="0" applyNumberFormat="1" applyFont="1" applyFill="1"/>
    <xf numFmtId="164" fontId="2" fillId="9" borderId="0" xfId="0" applyNumberFormat="1" applyFont="1" applyFill="1" applyAlignment="1">
      <alignment horizontal="left" vertical="center"/>
    </xf>
    <xf numFmtId="0" fontId="3" fillId="9" borderId="0" xfId="0" applyFont="1" applyFill="1"/>
    <xf numFmtId="0" fontId="3" fillId="9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left" vertical="center"/>
    </xf>
    <xf numFmtId="0" fontId="6" fillId="9" borderId="0" xfId="0" applyFont="1" applyFill="1"/>
    <xf numFmtId="0" fontId="6" fillId="9" borderId="0" xfId="0" applyFont="1" applyFill="1" applyAlignment="1">
      <alignment horizontal="center" vertical="center" wrapText="1"/>
    </xf>
    <xf numFmtId="164" fontId="6" fillId="9" borderId="0" xfId="0" applyNumberFormat="1" applyFont="1" applyFill="1" applyAlignment="1">
      <alignment vertical="center"/>
    </xf>
    <xf numFmtId="0" fontId="3" fillId="10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64" fontId="8" fillId="7" borderId="3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164" fontId="3" fillId="5" borderId="19" xfId="0" applyNumberFormat="1" applyFont="1" applyFill="1" applyBorder="1" applyAlignment="1">
      <alignment horizontal="center" vertical="center" wrapText="1"/>
    </xf>
    <xf numFmtId="164" fontId="3" fillId="5" borderId="23" xfId="0" applyNumberFormat="1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horizontal="center" vertical="center" wrapText="1"/>
    </xf>
    <xf numFmtId="164" fontId="8" fillId="3" borderId="20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8" fillId="3" borderId="30" xfId="0" applyNumberFormat="1" applyFont="1" applyFill="1" applyBorder="1" applyAlignment="1">
      <alignment horizontal="center" vertical="center" wrapText="1"/>
    </xf>
    <xf numFmtId="164" fontId="8" fillId="3" borderId="27" xfId="0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15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 wrapText="1"/>
    </xf>
    <xf numFmtId="0" fontId="10" fillId="6" borderId="45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wrapText="1"/>
    </xf>
    <xf numFmtId="0" fontId="11" fillId="0" borderId="42" xfId="0" applyFont="1" applyBorder="1" applyAlignment="1">
      <alignment horizontal="center" wrapText="1"/>
    </xf>
    <xf numFmtId="0" fontId="11" fillId="0" borderId="44" xfId="0" applyFont="1" applyBorder="1" applyAlignment="1">
      <alignment horizont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 wrapText="1"/>
    </xf>
    <xf numFmtId="15" fontId="9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6</xdr:row>
          <xdr:rowOff>114300</xdr:rowOff>
        </xdr:from>
        <xdr:to>
          <xdr:col>5</xdr:col>
          <xdr:colOff>561975</xdr:colOff>
          <xdr:row>6</xdr:row>
          <xdr:rowOff>371475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6</xdr:row>
          <xdr:rowOff>114300</xdr:rowOff>
        </xdr:from>
        <xdr:to>
          <xdr:col>6</xdr:col>
          <xdr:colOff>561975</xdr:colOff>
          <xdr:row>6</xdr:row>
          <xdr:rowOff>371475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7</xdr:row>
          <xdr:rowOff>114300</xdr:rowOff>
        </xdr:from>
        <xdr:to>
          <xdr:col>5</xdr:col>
          <xdr:colOff>561975</xdr:colOff>
          <xdr:row>7</xdr:row>
          <xdr:rowOff>371475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7</xdr:row>
          <xdr:rowOff>114300</xdr:rowOff>
        </xdr:from>
        <xdr:to>
          <xdr:col>6</xdr:col>
          <xdr:colOff>561975</xdr:colOff>
          <xdr:row>7</xdr:row>
          <xdr:rowOff>371475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9</xdr:row>
          <xdr:rowOff>114300</xdr:rowOff>
        </xdr:from>
        <xdr:to>
          <xdr:col>5</xdr:col>
          <xdr:colOff>561975</xdr:colOff>
          <xdr:row>9</xdr:row>
          <xdr:rowOff>371475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9</xdr:row>
          <xdr:rowOff>114300</xdr:rowOff>
        </xdr:from>
        <xdr:to>
          <xdr:col>6</xdr:col>
          <xdr:colOff>561975</xdr:colOff>
          <xdr:row>9</xdr:row>
          <xdr:rowOff>371475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10</xdr:row>
          <xdr:rowOff>114300</xdr:rowOff>
        </xdr:from>
        <xdr:to>
          <xdr:col>5</xdr:col>
          <xdr:colOff>561975</xdr:colOff>
          <xdr:row>10</xdr:row>
          <xdr:rowOff>371475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10</xdr:row>
          <xdr:rowOff>114300</xdr:rowOff>
        </xdr:from>
        <xdr:to>
          <xdr:col>6</xdr:col>
          <xdr:colOff>561975</xdr:colOff>
          <xdr:row>10</xdr:row>
          <xdr:rowOff>371475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11</xdr:row>
          <xdr:rowOff>114300</xdr:rowOff>
        </xdr:from>
        <xdr:to>
          <xdr:col>5</xdr:col>
          <xdr:colOff>561975</xdr:colOff>
          <xdr:row>11</xdr:row>
          <xdr:rowOff>371475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11</xdr:row>
          <xdr:rowOff>114300</xdr:rowOff>
        </xdr:from>
        <xdr:to>
          <xdr:col>6</xdr:col>
          <xdr:colOff>561975</xdr:colOff>
          <xdr:row>11</xdr:row>
          <xdr:rowOff>371475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12</xdr:row>
          <xdr:rowOff>114300</xdr:rowOff>
        </xdr:from>
        <xdr:to>
          <xdr:col>5</xdr:col>
          <xdr:colOff>561975</xdr:colOff>
          <xdr:row>12</xdr:row>
          <xdr:rowOff>371475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12</xdr:row>
          <xdr:rowOff>114300</xdr:rowOff>
        </xdr:from>
        <xdr:to>
          <xdr:col>6</xdr:col>
          <xdr:colOff>561975</xdr:colOff>
          <xdr:row>12</xdr:row>
          <xdr:rowOff>371475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13</xdr:row>
          <xdr:rowOff>114300</xdr:rowOff>
        </xdr:from>
        <xdr:to>
          <xdr:col>5</xdr:col>
          <xdr:colOff>561975</xdr:colOff>
          <xdr:row>13</xdr:row>
          <xdr:rowOff>371475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13</xdr:row>
          <xdr:rowOff>114300</xdr:rowOff>
        </xdr:from>
        <xdr:to>
          <xdr:col>6</xdr:col>
          <xdr:colOff>561975</xdr:colOff>
          <xdr:row>13</xdr:row>
          <xdr:rowOff>371475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14</xdr:row>
          <xdr:rowOff>114300</xdr:rowOff>
        </xdr:from>
        <xdr:to>
          <xdr:col>5</xdr:col>
          <xdr:colOff>561975</xdr:colOff>
          <xdr:row>14</xdr:row>
          <xdr:rowOff>371475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14</xdr:row>
          <xdr:rowOff>114300</xdr:rowOff>
        </xdr:from>
        <xdr:to>
          <xdr:col>6</xdr:col>
          <xdr:colOff>561975</xdr:colOff>
          <xdr:row>14</xdr:row>
          <xdr:rowOff>371475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15</xdr:row>
          <xdr:rowOff>114300</xdr:rowOff>
        </xdr:from>
        <xdr:to>
          <xdr:col>5</xdr:col>
          <xdr:colOff>561975</xdr:colOff>
          <xdr:row>15</xdr:row>
          <xdr:rowOff>371475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15</xdr:row>
          <xdr:rowOff>114300</xdr:rowOff>
        </xdr:from>
        <xdr:to>
          <xdr:col>6</xdr:col>
          <xdr:colOff>561975</xdr:colOff>
          <xdr:row>15</xdr:row>
          <xdr:rowOff>371475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16</xdr:row>
          <xdr:rowOff>114300</xdr:rowOff>
        </xdr:from>
        <xdr:to>
          <xdr:col>5</xdr:col>
          <xdr:colOff>561975</xdr:colOff>
          <xdr:row>16</xdr:row>
          <xdr:rowOff>371475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16</xdr:row>
          <xdr:rowOff>114300</xdr:rowOff>
        </xdr:from>
        <xdr:to>
          <xdr:col>6</xdr:col>
          <xdr:colOff>561975</xdr:colOff>
          <xdr:row>16</xdr:row>
          <xdr:rowOff>371475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18</xdr:row>
          <xdr:rowOff>114300</xdr:rowOff>
        </xdr:from>
        <xdr:to>
          <xdr:col>5</xdr:col>
          <xdr:colOff>561975</xdr:colOff>
          <xdr:row>18</xdr:row>
          <xdr:rowOff>371475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18</xdr:row>
          <xdr:rowOff>114300</xdr:rowOff>
        </xdr:from>
        <xdr:to>
          <xdr:col>6</xdr:col>
          <xdr:colOff>561975</xdr:colOff>
          <xdr:row>18</xdr:row>
          <xdr:rowOff>371475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19</xdr:row>
          <xdr:rowOff>114300</xdr:rowOff>
        </xdr:from>
        <xdr:to>
          <xdr:col>5</xdr:col>
          <xdr:colOff>561975</xdr:colOff>
          <xdr:row>19</xdr:row>
          <xdr:rowOff>371475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19</xdr:row>
          <xdr:rowOff>114300</xdr:rowOff>
        </xdr:from>
        <xdr:to>
          <xdr:col>6</xdr:col>
          <xdr:colOff>561975</xdr:colOff>
          <xdr:row>19</xdr:row>
          <xdr:rowOff>371475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20</xdr:row>
          <xdr:rowOff>114300</xdr:rowOff>
        </xdr:from>
        <xdr:to>
          <xdr:col>5</xdr:col>
          <xdr:colOff>561975</xdr:colOff>
          <xdr:row>20</xdr:row>
          <xdr:rowOff>371475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20</xdr:row>
          <xdr:rowOff>114300</xdr:rowOff>
        </xdr:from>
        <xdr:to>
          <xdr:col>6</xdr:col>
          <xdr:colOff>561975</xdr:colOff>
          <xdr:row>20</xdr:row>
          <xdr:rowOff>371475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21</xdr:row>
          <xdr:rowOff>114300</xdr:rowOff>
        </xdr:from>
        <xdr:to>
          <xdr:col>5</xdr:col>
          <xdr:colOff>561975</xdr:colOff>
          <xdr:row>21</xdr:row>
          <xdr:rowOff>371475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21</xdr:row>
          <xdr:rowOff>114300</xdr:rowOff>
        </xdr:from>
        <xdr:to>
          <xdr:col>6</xdr:col>
          <xdr:colOff>561975</xdr:colOff>
          <xdr:row>21</xdr:row>
          <xdr:rowOff>371475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1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22</xdr:row>
          <xdr:rowOff>114300</xdr:rowOff>
        </xdr:from>
        <xdr:to>
          <xdr:col>5</xdr:col>
          <xdr:colOff>561975</xdr:colOff>
          <xdr:row>22</xdr:row>
          <xdr:rowOff>371475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1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22</xdr:row>
          <xdr:rowOff>114300</xdr:rowOff>
        </xdr:from>
        <xdr:to>
          <xdr:col>6</xdr:col>
          <xdr:colOff>561975</xdr:colOff>
          <xdr:row>22</xdr:row>
          <xdr:rowOff>371475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1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24</xdr:row>
          <xdr:rowOff>114300</xdr:rowOff>
        </xdr:from>
        <xdr:to>
          <xdr:col>5</xdr:col>
          <xdr:colOff>561975</xdr:colOff>
          <xdr:row>24</xdr:row>
          <xdr:rowOff>371475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1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24</xdr:row>
          <xdr:rowOff>114300</xdr:rowOff>
        </xdr:from>
        <xdr:to>
          <xdr:col>6</xdr:col>
          <xdr:colOff>561975</xdr:colOff>
          <xdr:row>24</xdr:row>
          <xdr:rowOff>371475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1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25</xdr:row>
          <xdr:rowOff>114300</xdr:rowOff>
        </xdr:from>
        <xdr:ext cx="219075" cy="257175"/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441E38D-CF6C-40C0-A0A7-33B0CA8EC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25</xdr:row>
          <xdr:rowOff>114300</xdr:rowOff>
        </xdr:from>
        <xdr:ext cx="219075" cy="257175"/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EBC22D38-C704-49D9-AAD2-DE23EABE8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26</xdr:row>
          <xdr:rowOff>114300</xdr:rowOff>
        </xdr:from>
        <xdr:ext cx="219075" cy="257175"/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5FE83DA1-30D6-4A49-93AA-3D3E95484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26</xdr:row>
          <xdr:rowOff>114300</xdr:rowOff>
        </xdr:from>
        <xdr:ext cx="219075" cy="257175"/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56D31561-E9B0-45D5-945C-52672458E7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27</xdr:row>
          <xdr:rowOff>114300</xdr:rowOff>
        </xdr:from>
        <xdr:ext cx="219075" cy="257175"/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3F4ACA18-A557-4A1D-B339-FE8D2CBA7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27</xdr:row>
          <xdr:rowOff>114300</xdr:rowOff>
        </xdr:from>
        <xdr:ext cx="219075" cy="257175"/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4AA8C41E-CC44-4063-937B-FAF1A39C3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28</xdr:row>
          <xdr:rowOff>114300</xdr:rowOff>
        </xdr:from>
        <xdr:ext cx="219075" cy="257175"/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747BE63F-7C6C-4F5E-8DD9-6C1958CB2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28</xdr:row>
          <xdr:rowOff>114300</xdr:rowOff>
        </xdr:from>
        <xdr:ext cx="219075" cy="257175"/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3479B91A-EC0B-4A04-B9E3-4DB4FE01B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29</xdr:row>
          <xdr:rowOff>114300</xdr:rowOff>
        </xdr:from>
        <xdr:ext cx="219075" cy="257175"/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559BBE15-9F73-49C3-9A76-F715CE183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29</xdr:row>
          <xdr:rowOff>114300</xdr:rowOff>
        </xdr:from>
        <xdr:ext cx="219075" cy="257175"/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724B25A3-0DC9-4B09-9F1C-FAC2453A9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30</xdr:row>
          <xdr:rowOff>114300</xdr:rowOff>
        </xdr:from>
        <xdr:ext cx="219075" cy="257175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A241240-B335-4A73-B753-08FFC09EC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30</xdr:row>
          <xdr:rowOff>114300</xdr:rowOff>
        </xdr:from>
        <xdr:ext cx="219075" cy="257175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F519AA48-749D-4430-BD6C-7106AB5896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31</xdr:row>
          <xdr:rowOff>114300</xdr:rowOff>
        </xdr:from>
        <xdr:ext cx="219075" cy="257175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5BCF6488-DAEA-4744-A8A4-3E5B0A5C1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31</xdr:row>
          <xdr:rowOff>114300</xdr:rowOff>
        </xdr:from>
        <xdr:ext cx="219075" cy="257175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A85AD1CD-D27A-4CB9-A433-6A223F774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32</xdr:row>
          <xdr:rowOff>114300</xdr:rowOff>
        </xdr:from>
        <xdr:ext cx="219075" cy="257175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84445C7B-E02D-4424-8D23-26CCEA762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32</xdr:row>
          <xdr:rowOff>114300</xdr:rowOff>
        </xdr:from>
        <xdr:ext cx="219075" cy="257175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B12F6C84-7EA4-42D8-BAC4-6720DF4C5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33</xdr:row>
          <xdr:rowOff>114300</xdr:rowOff>
        </xdr:from>
        <xdr:ext cx="219075" cy="257175"/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60DF51E4-7FBF-4309-B6E5-1F115B593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33</xdr:row>
          <xdr:rowOff>114300</xdr:rowOff>
        </xdr:from>
        <xdr:ext cx="219075" cy="257175"/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E90F9CE2-2020-4210-8E1E-5443245A0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34</xdr:row>
          <xdr:rowOff>114300</xdr:rowOff>
        </xdr:from>
        <xdr:ext cx="219075" cy="257175"/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445F1C86-108D-4A31-A6A1-CBEA32769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34</xdr:row>
          <xdr:rowOff>114300</xdr:rowOff>
        </xdr:from>
        <xdr:ext cx="219075" cy="257175"/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6369F072-4F89-4305-BEB3-686A5D769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35</xdr:row>
          <xdr:rowOff>114300</xdr:rowOff>
        </xdr:from>
        <xdr:ext cx="219075" cy="257175"/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6F9DFF6C-FD06-444F-BA9B-13AD1E644E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35</xdr:row>
          <xdr:rowOff>114300</xdr:rowOff>
        </xdr:from>
        <xdr:ext cx="219075" cy="257175"/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330DF017-E4EF-48AC-940D-C69241AB57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36</xdr:row>
          <xdr:rowOff>114300</xdr:rowOff>
        </xdr:from>
        <xdr:ext cx="219075" cy="257175"/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B2AB5D51-FA80-4E7D-A3F8-4C84A2458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36</xdr:row>
          <xdr:rowOff>114300</xdr:rowOff>
        </xdr:from>
        <xdr:ext cx="219075" cy="257175"/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B6C81DE2-C346-49C9-B336-5F7BC386C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37</xdr:row>
          <xdr:rowOff>114300</xdr:rowOff>
        </xdr:from>
        <xdr:ext cx="219075" cy="257175"/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2AA65826-E659-4E57-96EC-8753DF7E7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342900</xdr:colOff>
          <xdr:row>37</xdr:row>
          <xdr:rowOff>114300</xdr:rowOff>
        </xdr:from>
        <xdr:ext cx="219075" cy="257175"/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FD501A57-9ABF-4380-B067-475A3DF89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25</xdr:row>
          <xdr:rowOff>114300</xdr:rowOff>
        </xdr:from>
        <xdr:ext cx="219075" cy="257175"/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50974A69-73E2-472D-AAEB-3C58B6BB5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24</xdr:row>
          <xdr:rowOff>114300</xdr:rowOff>
        </xdr:from>
        <xdr:ext cx="219075" cy="257175"/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15416F76-D8B3-41E5-852C-064E1B900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342900</xdr:colOff>
          <xdr:row>24</xdr:row>
          <xdr:rowOff>114300</xdr:rowOff>
        </xdr:from>
        <xdr:ext cx="219075" cy="257175"/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8850FF87-E190-4110-A2B4-749D71FC0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1154430</xdr:colOff>
      <xdr:row>0</xdr:row>
      <xdr:rowOff>156210</xdr:rowOff>
    </xdr:from>
    <xdr:to>
      <xdr:col>9</xdr:col>
      <xdr:colOff>131334</xdr:colOff>
      <xdr:row>8</xdr:row>
      <xdr:rowOff>34042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80CB04-5DF5-49DF-8E7D-C77306B9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156210"/>
          <a:ext cx="6339729" cy="1325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1154430</xdr:colOff>
      <xdr:row>1</xdr:row>
      <xdr:rowOff>146685</xdr:rowOff>
    </xdr:from>
    <xdr:to>
      <xdr:col>9</xdr:col>
      <xdr:colOff>236109</xdr:colOff>
      <xdr:row>10</xdr:row>
      <xdr:rowOff>14992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FE1F-6E3E-4E99-8B67-05A8F5AE6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337185"/>
          <a:ext cx="6339729" cy="1325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1154430</xdr:colOff>
      <xdr:row>1</xdr:row>
      <xdr:rowOff>146685</xdr:rowOff>
    </xdr:from>
    <xdr:to>
      <xdr:col>9</xdr:col>
      <xdr:colOff>236109</xdr:colOff>
      <xdr:row>10</xdr:row>
      <xdr:rowOff>14992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9F55F-DA32-4140-B765-C889E12D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1430" y="308610"/>
          <a:ext cx="6339729" cy="1325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7.xml"/><Relationship Id="rId21" Type="http://schemas.openxmlformats.org/officeDocument/2006/relationships/ctrlProp" Target="../ctrlProps/ctrlProp2.xml"/><Relationship Id="rId42" Type="http://schemas.openxmlformats.org/officeDocument/2006/relationships/ctrlProp" Target="../ctrlProps/ctrlProp23.xml"/><Relationship Id="rId47" Type="http://schemas.openxmlformats.org/officeDocument/2006/relationships/ctrlProp" Target="../ctrlProps/ctrlProp28.xml"/><Relationship Id="rId63" Type="http://schemas.openxmlformats.org/officeDocument/2006/relationships/ctrlProp" Target="../ctrlProps/ctrlProp44.xml"/><Relationship Id="rId68" Type="http://schemas.openxmlformats.org/officeDocument/2006/relationships/ctrlProp" Target="../ctrlProps/ctrlProp49.xml"/><Relationship Id="rId16" Type="http://schemas.openxmlformats.org/officeDocument/2006/relationships/hyperlink" Target="..\ACTIVITIES\3.%20APRIL\4-23-26-%20CSUCC" TargetMode="External"/><Relationship Id="rId11" Type="http://schemas.openxmlformats.org/officeDocument/2006/relationships/hyperlink" Target="..\JOB%20FAIR%20ACTIVITIES\3.%20APRIL\4-9-26-%20SAN%20LUIS" TargetMode="External"/><Relationship Id="rId24" Type="http://schemas.openxmlformats.org/officeDocument/2006/relationships/ctrlProp" Target="../ctrlProps/ctrlProp5.xml"/><Relationship Id="rId32" Type="http://schemas.openxmlformats.org/officeDocument/2006/relationships/ctrlProp" Target="../ctrlProps/ctrlProp13.xml"/><Relationship Id="rId37" Type="http://schemas.openxmlformats.org/officeDocument/2006/relationships/ctrlProp" Target="../ctrlProps/ctrlProp18.xml"/><Relationship Id="rId40" Type="http://schemas.openxmlformats.org/officeDocument/2006/relationships/ctrlProp" Target="../ctrlProps/ctrlProp21.xml"/><Relationship Id="rId45" Type="http://schemas.openxmlformats.org/officeDocument/2006/relationships/ctrlProp" Target="../ctrlProps/ctrlProp26.xml"/><Relationship Id="rId53" Type="http://schemas.openxmlformats.org/officeDocument/2006/relationships/ctrlProp" Target="../ctrlProps/ctrlProp34.xml"/><Relationship Id="rId58" Type="http://schemas.openxmlformats.org/officeDocument/2006/relationships/ctrlProp" Target="../ctrlProps/ctrlProp39.xml"/><Relationship Id="rId66" Type="http://schemas.openxmlformats.org/officeDocument/2006/relationships/ctrlProp" Target="../ctrlProps/ctrlProp47.xml"/><Relationship Id="rId74" Type="http://schemas.openxmlformats.org/officeDocument/2006/relationships/ctrlProp" Target="../ctrlProps/ctrlProp55.xml"/><Relationship Id="rId79" Type="http://schemas.openxmlformats.org/officeDocument/2006/relationships/ctrlProp" Target="../ctrlProps/ctrlProp60.xml"/><Relationship Id="rId5" Type="http://schemas.openxmlformats.org/officeDocument/2006/relationships/hyperlink" Target="..\JOB%20FAIR%20ACTIVITIES\2.%20MARCH\Mar.%2012,%202026-%20SMCC" TargetMode="External"/><Relationship Id="rId61" Type="http://schemas.openxmlformats.org/officeDocument/2006/relationships/ctrlProp" Target="../ctrlProps/ctrlProp42.xml"/><Relationship Id="rId19" Type="http://schemas.openxmlformats.org/officeDocument/2006/relationships/vmlDrawing" Target="../drawings/vmlDrawing1.vml"/><Relationship Id="rId14" Type="http://schemas.openxmlformats.org/officeDocument/2006/relationships/hyperlink" Target="..\ACTIVITIES\3.%20APRIL\4-6-26-%20VERUELA" TargetMode="External"/><Relationship Id="rId22" Type="http://schemas.openxmlformats.org/officeDocument/2006/relationships/ctrlProp" Target="../ctrlProps/ctrlProp3.xml"/><Relationship Id="rId27" Type="http://schemas.openxmlformats.org/officeDocument/2006/relationships/ctrlProp" Target="../ctrlProps/ctrlProp8.xml"/><Relationship Id="rId30" Type="http://schemas.openxmlformats.org/officeDocument/2006/relationships/ctrlProp" Target="../ctrlProps/ctrlProp11.xml"/><Relationship Id="rId35" Type="http://schemas.openxmlformats.org/officeDocument/2006/relationships/ctrlProp" Target="../ctrlProps/ctrlProp16.xml"/><Relationship Id="rId43" Type="http://schemas.openxmlformats.org/officeDocument/2006/relationships/ctrlProp" Target="../ctrlProps/ctrlProp24.xml"/><Relationship Id="rId48" Type="http://schemas.openxmlformats.org/officeDocument/2006/relationships/ctrlProp" Target="../ctrlProps/ctrlProp29.xml"/><Relationship Id="rId56" Type="http://schemas.openxmlformats.org/officeDocument/2006/relationships/ctrlProp" Target="../ctrlProps/ctrlProp37.xml"/><Relationship Id="rId64" Type="http://schemas.openxmlformats.org/officeDocument/2006/relationships/ctrlProp" Target="../ctrlProps/ctrlProp45.xml"/><Relationship Id="rId69" Type="http://schemas.openxmlformats.org/officeDocument/2006/relationships/ctrlProp" Target="../ctrlProps/ctrlProp50.xml"/><Relationship Id="rId77" Type="http://schemas.openxmlformats.org/officeDocument/2006/relationships/ctrlProp" Target="../ctrlProps/ctrlProp58.xml"/><Relationship Id="rId8" Type="http://schemas.openxmlformats.org/officeDocument/2006/relationships/hyperlink" Target="..\JOB%20FAIR%20ACTIVITIES\4.%20MAY\5-6-26-%20MADRID" TargetMode="External"/><Relationship Id="rId51" Type="http://schemas.openxmlformats.org/officeDocument/2006/relationships/ctrlProp" Target="../ctrlProps/ctrlProp32.xml"/><Relationship Id="rId72" Type="http://schemas.openxmlformats.org/officeDocument/2006/relationships/ctrlProp" Target="../ctrlProps/ctrlProp53.xml"/><Relationship Id="rId80" Type="http://schemas.openxmlformats.org/officeDocument/2006/relationships/ctrlProp" Target="../ctrlProps/ctrlProp61.xml"/><Relationship Id="rId3" Type="http://schemas.openxmlformats.org/officeDocument/2006/relationships/hyperlink" Target="..\JOB%20FAIR%20ACTIVITIES\2.%20MARCH\Mar.%205-6,%202026-%20San%20Jose,%20PDI" TargetMode="External"/><Relationship Id="rId12" Type="http://schemas.openxmlformats.org/officeDocument/2006/relationships/hyperlink" Target="..\ACTIVITIES\2.%20MARCH\Mar.%2030,%202026-%20La%20Paz,%20ADS" TargetMode="External"/><Relationship Id="rId17" Type="http://schemas.openxmlformats.org/officeDocument/2006/relationships/printerSettings" Target="../printerSettings/printerSettings2.bin"/><Relationship Id="rId25" Type="http://schemas.openxmlformats.org/officeDocument/2006/relationships/ctrlProp" Target="../ctrlProps/ctrlProp6.xml"/><Relationship Id="rId33" Type="http://schemas.openxmlformats.org/officeDocument/2006/relationships/ctrlProp" Target="../ctrlProps/ctrlProp14.xml"/><Relationship Id="rId38" Type="http://schemas.openxmlformats.org/officeDocument/2006/relationships/ctrlProp" Target="../ctrlProps/ctrlProp19.xml"/><Relationship Id="rId46" Type="http://schemas.openxmlformats.org/officeDocument/2006/relationships/ctrlProp" Target="../ctrlProps/ctrlProp27.xml"/><Relationship Id="rId59" Type="http://schemas.openxmlformats.org/officeDocument/2006/relationships/ctrlProp" Target="../ctrlProps/ctrlProp40.xml"/><Relationship Id="rId67" Type="http://schemas.openxmlformats.org/officeDocument/2006/relationships/ctrlProp" Target="../ctrlProps/ctrlProp48.xml"/><Relationship Id="rId20" Type="http://schemas.openxmlformats.org/officeDocument/2006/relationships/ctrlProp" Target="../ctrlProps/ctrlProp1.xml"/><Relationship Id="rId41" Type="http://schemas.openxmlformats.org/officeDocument/2006/relationships/ctrlProp" Target="../ctrlProps/ctrlProp22.xml"/><Relationship Id="rId54" Type="http://schemas.openxmlformats.org/officeDocument/2006/relationships/ctrlProp" Target="../ctrlProps/ctrlProp35.xml"/><Relationship Id="rId62" Type="http://schemas.openxmlformats.org/officeDocument/2006/relationships/ctrlProp" Target="../ctrlProps/ctrlProp43.xml"/><Relationship Id="rId70" Type="http://schemas.openxmlformats.org/officeDocument/2006/relationships/ctrlProp" Target="../ctrlProps/ctrlProp51.xml"/><Relationship Id="rId75" Type="http://schemas.openxmlformats.org/officeDocument/2006/relationships/ctrlProp" Target="../ctrlProps/ctrlProp56.xml"/><Relationship Id="rId1" Type="http://schemas.openxmlformats.org/officeDocument/2006/relationships/hyperlink" Target="..\JOB%20FAIR%20ACTIVITIES\1.%20FEBRUARY\2-23-26-%20CBR" TargetMode="External"/><Relationship Id="rId6" Type="http://schemas.openxmlformats.org/officeDocument/2006/relationships/hyperlink" Target="..\JOB%20FAIR%20ACTIVITIES\2.%20MARCH\Mar.%2019-20,%202026-%20Cagdianao,%20PDI" TargetMode="External"/><Relationship Id="rId15" Type="http://schemas.openxmlformats.org/officeDocument/2006/relationships/hyperlink" Target="..\ACTIVITIES\3.%20APRIL\4-13-26-%20ADSCO" TargetMode="External"/><Relationship Id="rId23" Type="http://schemas.openxmlformats.org/officeDocument/2006/relationships/ctrlProp" Target="../ctrlProps/ctrlProp4.xml"/><Relationship Id="rId28" Type="http://schemas.openxmlformats.org/officeDocument/2006/relationships/ctrlProp" Target="../ctrlProps/ctrlProp9.xml"/><Relationship Id="rId36" Type="http://schemas.openxmlformats.org/officeDocument/2006/relationships/ctrlProp" Target="../ctrlProps/ctrlProp17.xml"/><Relationship Id="rId49" Type="http://schemas.openxmlformats.org/officeDocument/2006/relationships/ctrlProp" Target="../ctrlProps/ctrlProp30.xml"/><Relationship Id="rId57" Type="http://schemas.openxmlformats.org/officeDocument/2006/relationships/ctrlProp" Target="../ctrlProps/ctrlProp38.xml"/><Relationship Id="rId10" Type="http://schemas.openxmlformats.org/officeDocument/2006/relationships/hyperlink" Target="..\JOB%20FAIR%20ACTIVITIES\2.%20MARCH\Mar.%2030,%202026-%20Loreto,%20ADS" TargetMode="External"/><Relationship Id="rId31" Type="http://schemas.openxmlformats.org/officeDocument/2006/relationships/ctrlProp" Target="../ctrlProps/ctrlProp12.xml"/><Relationship Id="rId44" Type="http://schemas.openxmlformats.org/officeDocument/2006/relationships/ctrlProp" Target="../ctrlProps/ctrlProp25.xml"/><Relationship Id="rId52" Type="http://schemas.openxmlformats.org/officeDocument/2006/relationships/ctrlProp" Target="../ctrlProps/ctrlProp33.xml"/><Relationship Id="rId60" Type="http://schemas.openxmlformats.org/officeDocument/2006/relationships/ctrlProp" Target="../ctrlProps/ctrlProp41.xml"/><Relationship Id="rId65" Type="http://schemas.openxmlformats.org/officeDocument/2006/relationships/ctrlProp" Target="../ctrlProps/ctrlProp46.xml"/><Relationship Id="rId73" Type="http://schemas.openxmlformats.org/officeDocument/2006/relationships/ctrlProp" Target="../ctrlProps/ctrlProp54.xml"/><Relationship Id="rId78" Type="http://schemas.openxmlformats.org/officeDocument/2006/relationships/ctrlProp" Target="../ctrlProps/ctrlProp59.xml"/><Relationship Id="rId4" Type="http://schemas.openxmlformats.org/officeDocument/2006/relationships/hyperlink" Target="..\JOB%20FAIR%20ACTIVITIES\2.%20MARCH\Mar.%206,%202026-%20Prosperidad,%20ADS" TargetMode="External"/><Relationship Id="rId9" Type="http://schemas.openxmlformats.org/officeDocument/2006/relationships/hyperlink" Target="..\JOB%20FAIR%20ACTIVITIES\2.%20MARCH\Mar.%2011,%202026-%20FSUU" TargetMode="External"/><Relationship Id="rId13" Type="http://schemas.openxmlformats.org/officeDocument/2006/relationships/hyperlink" Target="..\ACTIVITIES\2.%20MARCH\Mar.%2027,%202026-%20Nasipit,%20ADN" TargetMode="External"/><Relationship Id="rId18" Type="http://schemas.openxmlformats.org/officeDocument/2006/relationships/drawing" Target="../drawings/drawing1.xml"/><Relationship Id="rId39" Type="http://schemas.openxmlformats.org/officeDocument/2006/relationships/ctrlProp" Target="../ctrlProps/ctrlProp20.xml"/><Relationship Id="rId34" Type="http://schemas.openxmlformats.org/officeDocument/2006/relationships/ctrlProp" Target="../ctrlProps/ctrlProp15.xml"/><Relationship Id="rId50" Type="http://schemas.openxmlformats.org/officeDocument/2006/relationships/ctrlProp" Target="../ctrlProps/ctrlProp31.xml"/><Relationship Id="rId55" Type="http://schemas.openxmlformats.org/officeDocument/2006/relationships/ctrlProp" Target="../ctrlProps/ctrlProp36.xml"/><Relationship Id="rId76" Type="http://schemas.openxmlformats.org/officeDocument/2006/relationships/ctrlProp" Target="../ctrlProps/ctrlProp57.xml"/><Relationship Id="rId7" Type="http://schemas.openxmlformats.org/officeDocument/2006/relationships/hyperlink" Target="..\JOB%20FAIR%20ACTIVITIES\3.%20APRIL\4-23-26-%20CSUCC" TargetMode="External"/><Relationship Id="rId71" Type="http://schemas.openxmlformats.org/officeDocument/2006/relationships/ctrlProp" Target="../ctrlProps/ctrlProp52.xml"/><Relationship Id="rId2" Type="http://schemas.openxmlformats.org/officeDocument/2006/relationships/hyperlink" Target="..\JOB%20FAIR%20ACTIVITIES\1.%20FEBRUARY\2-26-26-%20BUTUAN" TargetMode="External"/><Relationship Id="rId2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E8B1-2E6E-4630-B8C0-2A54E528DD60}">
  <sheetPr>
    <pageSetUpPr fitToPage="1"/>
  </sheetPr>
  <dimension ref="A1:L38"/>
  <sheetViews>
    <sheetView workbookViewId="0">
      <selection activeCell="L10" sqref="L10"/>
    </sheetView>
  </sheetViews>
  <sheetFormatPr defaultRowHeight="14.25"/>
  <cols>
    <col min="1" max="1" width="20.7109375" style="157" customWidth="1"/>
    <col min="2" max="2" width="16.7109375" style="157" customWidth="1"/>
    <col min="3" max="3" width="12.7109375" style="157" customWidth="1"/>
    <col min="4" max="4" width="12" style="157" customWidth="1"/>
    <col min="5" max="5" width="10.7109375" style="157" customWidth="1"/>
    <col min="6" max="6" width="16.42578125" style="157" customWidth="1"/>
    <col min="7" max="7" width="17.5703125" style="157" customWidth="1"/>
    <col min="8" max="16384" width="9.140625" style="157"/>
  </cols>
  <sheetData>
    <row r="1" spans="1:7">
      <c r="A1" s="154"/>
      <c r="B1" s="155"/>
      <c r="C1" s="156"/>
      <c r="D1" s="156"/>
      <c r="E1" s="156"/>
      <c r="F1" s="156"/>
      <c r="G1" s="156"/>
    </row>
    <row r="2" spans="1:7">
      <c r="A2" s="154"/>
      <c r="B2" s="155"/>
      <c r="C2" s="156"/>
      <c r="D2" s="156"/>
      <c r="E2" s="156"/>
      <c r="F2" s="156"/>
      <c r="G2" s="156"/>
    </row>
    <row r="3" spans="1:7" ht="18">
      <c r="A3" s="186" t="s">
        <v>41</v>
      </c>
      <c r="B3" s="186"/>
      <c r="C3" s="186"/>
      <c r="D3" s="186"/>
      <c r="E3" s="186"/>
      <c r="F3" s="186"/>
      <c r="G3" s="186"/>
    </row>
    <row r="4" spans="1:7" ht="18">
      <c r="A4" s="186" t="s">
        <v>45</v>
      </c>
      <c r="B4" s="186"/>
      <c r="C4" s="186"/>
      <c r="D4" s="186"/>
      <c r="E4" s="186"/>
      <c r="F4" s="186"/>
      <c r="G4" s="186"/>
    </row>
    <row r="5" spans="1:7" ht="18">
      <c r="A5" s="186" t="s">
        <v>48</v>
      </c>
      <c r="B5" s="186"/>
      <c r="C5" s="186"/>
      <c r="D5" s="186"/>
      <c r="E5" s="186"/>
      <c r="F5" s="186"/>
      <c r="G5" s="186"/>
    </row>
    <row r="6" spans="1:7" ht="15" thickBot="1">
      <c r="A6" s="154"/>
      <c r="B6" s="155"/>
      <c r="C6" s="156"/>
      <c r="D6" s="156"/>
      <c r="E6" s="156"/>
      <c r="F6" s="156"/>
      <c r="G6" s="156"/>
    </row>
    <row r="7" spans="1:7" ht="35.450000000000003" customHeight="1">
      <c r="A7" s="187" t="s">
        <v>25</v>
      </c>
      <c r="B7" s="189" t="s">
        <v>4</v>
      </c>
      <c r="C7" s="191" t="s">
        <v>5</v>
      </c>
      <c r="D7" s="192"/>
      <c r="E7" s="193"/>
      <c r="F7" s="191" t="s">
        <v>7</v>
      </c>
      <c r="G7" s="193"/>
    </row>
    <row r="8" spans="1:7" ht="43.5" thickBot="1">
      <c r="A8" s="188"/>
      <c r="B8" s="190"/>
      <c r="C8" s="8" t="s">
        <v>6</v>
      </c>
      <c r="D8" s="7" t="s">
        <v>3</v>
      </c>
      <c r="E8" s="9" t="s">
        <v>10</v>
      </c>
      <c r="F8" s="8" t="s">
        <v>8</v>
      </c>
      <c r="G8" s="9" t="s">
        <v>9</v>
      </c>
    </row>
    <row r="9" spans="1:7">
      <c r="A9" s="158" t="s">
        <v>26</v>
      </c>
      <c r="B9" s="158"/>
      <c r="C9" s="159"/>
      <c r="D9" s="160"/>
      <c r="E9" s="161">
        <f>SUM(C9:D9)</f>
        <v>0</v>
      </c>
      <c r="F9" s="159"/>
      <c r="G9" s="161"/>
    </row>
    <row r="10" spans="1:7">
      <c r="A10" s="162" t="s">
        <v>27</v>
      </c>
      <c r="B10" s="162">
        <v>2</v>
      </c>
      <c r="C10" s="163">
        <f>FEB!F22</f>
        <v>44</v>
      </c>
      <c r="D10" s="164">
        <f>FEB!G22</f>
        <v>30</v>
      </c>
      <c r="E10" s="161">
        <f t="shared" ref="E10:E21" si="0">SUM(C10:D10)</f>
        <v>74</v>
      </c>
      <c r="F10" s="163">
        <f>FEB!L22</f>
        <v>5</v>
      </c>
      <c r="G10" s="165"/>
    </row>
    <row r="11" spans="1:7">
      <c r="A11" s="162" t="s">
        <v>28</v>
      </c>
      <c r="B11" s="162">
        <f>MAR!E34</f>
        <v>6</v>
      </c>
      <c r="C11" s="163">
        <f>MAR!F34</f>
        <v>252</v>
      </c>
      <c r="D11" s="164">
        <f>MAR!G34</f>
        <v>296</v>
      </c>
      <c r="E11" s="161">
        <f t="shared" si="0"/>
        <v>548</v>
      </c>
      <c r="F11" s="163">
        <f>MAR!L34</f>
        <v>12</v>
      </c>
      <c r="G11" s="165"/>
    </row>
    <row r="12" spans="1:7">
      <c r="A12" s="162" t="s">
        <v>29</v>
      </c>
      <c r="B12" s="162"/>
      <c r="C12" s="163"/>
      <c r="D12" s="164"/>
      <c r="E12" s="161">
        <f t="shared" si="0"/>
        <v>0</v>
      </c>
      <c r="F12" s="163"/>
      <c r="G12" s="165"/>
    </row>
    <row r="13" spans="1:7">
      <c r="A13" s="162" t="s">
        <v>30</v>
      </c>
      <c r="B13" s="162"/>
      <c r="C13" s="163"/>
      <c r="D13" s="164"/>
      <c r="E13" s="161">
        <f t="shared" si="0"/>
        <v>0</v>
      </c>
      <c r="F13" s="163"/>
      <c r="G13" s="165"/>
    </row>
    <row r="14" spans="1:7" ht="15" thickBot="1">
      <c r="A14" s="166" t="s">
        <v>31</v>
      </c>
      <c r="B14" s="166"/>
      <c r="C14" s="167"/>
      <c r="D14" s="168"/>
      <c r="E14" s="169">
        <f t="shared" si="0"/>
        <v>0</v>
      </c>
      <c r="F14" s="167"/>
      <c r="G14" s="170"/>
    </row>
    <row r="15" spans="1:7" ht="15" thickBot="1">
      <c r="A15" s="179" t="s">
        <v>47</v>
      </c>
      <c r="B15" s="179">
        <f>SUM(B9:B14)</f>
        <v>8</v>
      </c>
      <c r="C15" s="179">
        <f t="shared" ref="C15:G15" si="1">SUM(C9:C14)</f>
        <v>296</v>
      </c>
      <c r="D15" s="179">
        <f t="shared" si="1"/>
        <v>326</v>
      </c>
      <c r="E15" s="179">
        <f t="shared" si="1"/>
        <v>622</v>
      </c>
      <c r="F15" s="179">
        <f t="shared" si="1"/>
        <v>17</v>
      </c>
      <c r="G15" s="179">
        <f t="shared" si="1"/>
        <v>0</v>
      </c>
    </row>
    <row r="16" spans="1:7">
      <c r="A16" s="158" t="s">
        <v>32</v>
      </c>
      <c r="B16" s="158"/>
      <c r="C16" s="159"/>
      <c r="D16" s="160"/>
      <c r="E16" s="161">
        <f t="shared" si="0"/>
        <v>0</v>
      </c>
      <c r="F16" s="159"/>
      <c r="G16" s="161"/>
    </row>
    <row r="17" spans="1:12">
      <c r="A17" s="162" t="s">
        <v>33</v>
      </c>
      <c r="B17" s="162"/>
      <c r="C17" s="163"/>
      <c r="D17" s="164"/>
      <c r="E17" s="161">
        <f t="shared" si="0"/>
        <v>0</v>
      </c>
      <c r="F17" s="163"/>
      <c r="G17" s="165"/>
    </row>
    <row r="18" spans="1:12">
      <c r="A18" s="162" t="s">
        <v>34</v>
      </c>
      <c r="B18" s="162"/>
      <c r="C18" s="163"/>
      <c r="D18" s="164"/>
      <c r="E18" s="161">
        <f t="shared" si="0"/>
        <v>0</v>
      </c>
      <c r="F18" s="163"/>
      <c r="G18" s="165"/>
    </row>
    <row r="19" spans="1:12">
      <c r="A19" s="162" t="s">
        <v>35</v>
      </c>
      <c r="B19" s="162"/>
      <c r="C19" s="163"/>
      <c r="D19" s="164"/>
      <c r="E19" s="161">
        <f t="shared" si="0"/>
        <v>0</v>
      </c>
      <c r="F19" s="163"/>
      <c r="G19" s="165"/>
    </row>
    <row r="20" spans="1:12">
      <c r="A20" s="162" t="s">
        <v>36</v>
      </c>
      <c r="B20" s="162"/>
      <c r="C20" s="163"/>
      <c r="D20" s="164"/>
      <c r="E20" s="161">
        <f t="shared" si="0"/>
        <v>0</v>
      </c>
      <c r="F20" s="163"/>
      <c r="G20" s="165"/>
    </row>
    <row r="21" spans="1:12" ht="15" thickBot="1">
      <c r="A21" s="166" t="s">
        <v>37</v>
      </c>
      <c r="B21" s="166"/>
      <c r="C21" s="167"/>
      <c r="D21" s="168"/>
      <c r="E21" s="169">
        <f t="shared" si="0"/>
        <v>0</v>
      </c>
      <c r="F21" s="167"/>
      <c r="G21" s="170"/>
      <c r="L21" s="157" t="s">
        <v>46</v>
      </c>
    </row>
    <row r="22" spans="1:12" ht="15" thickBot="1">
      <c r="A22" s="179" t="s">
        <v>47</v>
      </c>
      <c r="B22" s="179">
        <f>SUM(B16:B21)</f>
        <v>0</v>
      </c>
      <c r="C22" s="179">
        <f t="shared" ref="C22:G22" si="2">SUM(C16:C21)</f>
        <v>0</v>
      </c>
      <c r="D22" s="179">
        <f t="shared" si="2"/>
        <v>0</v>
      </c>
      <c r="E22" s="179">
        <f t="shared" si="2"/>
        <v>0</v>
      </c>
      <c r="F22" s="179">
        <f t="shared" si="2"/>
        <v>0</v>
      </c>
      <c r="G22" s="179">
        <f t="shared" si="2"/>
        <v>0</v>
      </c>
    </row>
    <row r="23" spans="1:12" s="171" customFormat="1" ht="15" thickBot="1">
      <c r="A23" s="10" t="s">
        <v>10</v>
      </c>
      <c r="B23" s="10">
        <f>B15+B22</f>
        <v>8</v>
      </c>
      <c r="C23" s="10">
        <f t="shared" ref="C23:G23" si="3">C15+C22</f>
        <v>296</v>
      </c>
      <c r="D23" s="10">
        <f t="shared" si="3"/>
        <v>326</v>
      </c>
      <c r="E23" s="10">
        <f t="shared" si="3"/>
        <v>622</v>
      </c>
      <c r="F23" s="10">
        <f t="shared" si="3"/>
        <v>17</v>
      </c>
      <c r="G23" s="10">
        <f t="shared" si="3"/>
        <v>0</v>
      </c>
    </row>
    <row r="24" spans="1:12">
      <c r="A24" s="154"/>
      <c r="B24" s="155"/>
      <c r="C24" s="156"/>
      <c r="D24" s="156"/>
      <c r="E24" s="156"/>
      <c r="F24" s="156"/>
      <c r="G24" s="156"/>
    </row>
    <row r="25" spans="1:12">
      <c r="A25" s="154" t="s">
        <v>15</v>
      </c>
      <c r="C25" s="156"/>
      <c r="D25" s="156"/>
      <c r="E25" s="172" t="s">
        <v>18</v>
      </c>
      <c r="G25" s="156"/>
    </row>
    <row r="26" spans="1:12">
      <c r="A26" s="154"/>
      <c r="C26" s="156"/>
      <c r="D26" s="156"/>
      <c r="E26" s="155"/>
      <c r="G26" s="156"/>
    </row>
    <row r="27" spans="1:12">
      <c r="A27" s="154"/>
      <c r="C27" s="156"/>
      <c r="D27" s="156"/>
      <c r="E27" s="155"/>
      <c r="G27" s="156"/>
    </row>
    <row r="28" spans="1:12">
      <c r="A28" s="154"/>
      <c r="C28" s="156"/>
      <c r="D28" s="156"/>
      <c r="E28" s="155"/>
      <c r="G28" s="156"/>
    </row>
    <row r="29" spans="1:12">
      <c r="A29" s="173" t="s">
        <v>16</v>
      </c>
      <c r="C29" s="174"/>
      <c r="D29" s="174"/>
      <c r="E29" s="175" t="s">
        <v>42</v>
      </c>
      <c r="G29" s="174"/>
    </row>
    <row r="30" spans="1:12">
      <c r="A30" s="176" t="s">
        <v>17</v>
      </c>
      <c r="C30" s="177"/>
      <c r="D30" s="177"/>
      <c r="E30" s="178" t="s">
        <v>44</v>
      </c>
      <c r="G30" s="177"/>
    </row>
    <row r="31" spans="1:12">
      <c r="A31" s="176"/>
      <c r="C31" s="177"/>
      <c r="D31" s="177"/>
      <c r="E31" s="178" t="s">
        <v>43</v>
      </c>
      <c r="G31" s="177"/>
    </row>
    <row r="33" spans="1:5">
      <c r="A33" s="154"/>
      <c r="E33" s="172" t="s">
        <v>38</v>
      </c>
    </row>
    <row r="34" spans="1:5">
      <c r="A34" s="154"/>
      <c r="E34" s="155"/>
    </row>
    <row r="35" spans="1:5">
      <c r="A35" s="154"/>
      <c r="E35" s="155"/>
    </row>
    <row r="36" spans="1:5">
      <c r="A36" s="154"/>
      <c r="E36" s="155"/>
    </row>
    <row r="37" spans="1:5">
      <c r="A37" s="173"/>
      <c r="E37" s="175" t="s">
        <v>39</v>
      </c>
    </row>
    <row r="38" spans="1:5">
      <c r="A38" s="176"/>
      <c r="E38" s="178" t="s">
        <v>40</v>
      </c>
    </row>
  </sheetData>
  <mergeCells count="7">
    <mergeCell ref="A3:G3"/>
    <mergeCell ref="A4:G4"/>
    <mergeCell ref="A5:G5"/>
    <mergeCell ref="A7:A8"/>
    <mergeCell ref="B7:B8"/>
    <mergeCell ref="C7:E7"/>
    <mergeCell ref="F7:G7"/>
  </mergeCells>
  <pageMargins left="0.64" right="0.7" top="1.98" bottom="0.75" header="0.3" footer="0.3"/>
  <pageSetup paperSize="9" scale="8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225D-EFCF-46C8-BF9C-E22F83DC9E02}">
  <dimension ref="A2:N39"/>
  <sheetViews>
    <sheetView tabSelected="1" topLeftCell="A16" workbookViewId="0">
      <selection activeCell="I30" sqref="I30"/>
    </sheetView>
  </sheetViews>
  <sheetFormatPr defaultRowHeight="12.75"/>
  <cols>
    <col min="1" max="1" width="9.140625" style="13"/>
    <col min="2" max="2" width="31.85546875" style="42" customWidth="1"/>
    <col min="3" max="3" width="18.85546875" style="29" customWidth="1"/>
    <col min="4" max="4" width="33.85546875" style="42" customWidth="1"/>
    <col min="5" max="5" width="22.85546875" style="13" customWidth="1"/>
    <col min="6" max="6" width="13" style="13" customWidth="1"/>
    <col min="7" max="7" width="12.28515625" style="13" customWidth="1"/>
    <col min="8" max="8" width="17.42578125" style="29" customWidth="1"/>
    <col min="9" max="9" width="18.7109375" style="29" customWidth="1"/>
    <col min="10" max="10" width="17.7109375" style="29" customWidth="1"/>
    <col min="11" max="11" width="17.85546875" style="29" customWidth="1"/>
    <col min="12" max="12" width="30.85546875" style="42" customWidth="1"/>
    <col min="13" max="13" width="17.7109375" style="118" customWidth="1"/>
    <col min="14" max="14" width="22.85546875" style="41" customWidth="1"/>
    <col min="15" max="16384" width="9.140625" style="14"/>
  </cols>
  <sheetData>
    <row r="2" spans="1:14" ht="18" customHeight="1">
      <c r="A2" s="180" t="s">
        <v>91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21"/>
    </row>
    <row r="4" spans="1:14" ht="15" customHeight="1">
      <c r="A4" s="184" t="s">
        <v>92</v>
      </c>
      <c r="B4" s="181" t="s">
        <v>93</v>
      </c>
      <c r="C4" s="183" t="s">
        <v>94</v>
      </c>
      <c r="D4" s="181" t="s">
        <v>95</v>
      </c>
      <c r="E4" s="184" t="s">
        <v>128</v>
      </c>
      <c r="F4" s="181" t="s">
        <v>161</v>
      </c>
      <c r="G4" s="181"/>
      <c r="H4" s="183" t="s">
        <v>96</v>
      </c>
      <c r="I4" s="183"/>
      <c r="J4" s="183"/>
      <c r="K4" s="183"/>
      <c r="L4" s="183"/>
      <c r="M4" s="122"/>
      <c r="N4" s="181" t="s">
        <v>0</v>
      </c>
    </row>
    <row r="5" spans="1:14" s="13" customFormat="1" ht="69.75" customHeight="1">
      <c r="A5" s="185"/>
      <c r="B5" s="181"/>
      <c r="C5" s="183"/>
      <c r="D5" s="181"/>
      <c r="E5" s="185"/>
      <c r="F5" s="114" t="s">
        <v>171</v>
      </c>
      <c r="G5" s="114" t="s">
        <v>162</v>
      </c>
      <c r="H5" s="37" t="s">
        <v>100</v>
      </c>
      <c r="I5" s="37" t="s">
        <v>105</v>
      </c>
      <c r="J5" s="37" t="s">
        <v>101</v>
      </c>
      <c r="K5" s="37" t="s">
        <v>104</v>
      </c>
      <c r="L5" s="37" t="s">
        <v>108</v>
      </c>
      <c r="M5" s="116" t="s">
        <v>60</v>
      </c>
      <c r="N5" s="181"/>
    </row>
    <row r="6" spans="1:14" ht="12.75" customHeight="1">
      <c r="A6" s="182" t="s">
        <v>97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</row>
    <row r="7" spans="1:14" ht="38.25">
      <c r="A7" s="12">
        <v>1</v>
      </c>
      <c r="B7" s="24" t="s">
        <v>98</v>
      </c>
      <c r="C7" s="38">
        <v>46076</v>
      </c>
      <c r="D7" s="24" t="s">
        <v>53</v>
      </c>
      <c r="E7" s="12" t="s">
        <v>129</v>
      </c>
      <c r="F7" s="12"/>
      <c r="G7" s="12"/>
      <c r="H7" s="38">
        <v>46049</v>
      </c>
      <c r="I7" s="38">
        <v>46050</v>
      </c>
      <c r="J7" s="38" t="s">
        <v>102</v>
      </c>
      <c r="K7" s="38">
        <v>46057</v>
      </c>
      <c r="L7" s="11" t="s">
        <v>82</v>
      </c>
      <c r="M7" s="119" t="s">
        <v>163</v>
      </c>
      <c r="N7" s="40"/>
    </row>
    <row r="8" spans="1:14" ht="30">
      <c r="A8" s="12">
        <v>2</v>
      </c>
      <c r="B8" s="24" t="s">
        <v>99</v>
      </c>
      <c r="C8" s="38">
        <v>46079</v>
      </c>
      <c r="D8" s="24" t="s">
        <v>56</v>
      </c>
      <c r="E8" s="12" t="s">
        <v>167</v>
      </c>
      <c r="F8" s="12"/>
      <c r="G8" s="12"/>
      <c r="H8" s="38">
        <v>46064</v>
      </c>
      <c r="I8" s="38">
        <v>46065</v>
      </c>
      <c r="J8" s="38">
        <v>46069</v>
      </c>
      <c r="K8" s="38">
        <v>46069</v>
      </c>
      <c r="L8" s="11" t="s">
        <v>83</v>
      </c>
      <c r="M8" s="119" t="s">
        <v>164</v>
      </c>
      <c r="N8" s="40"/>
    </row>
    <row r="9" spans="1:14">
      <c r="A9" s="182" t="s">
        <v>28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</row>
    <row r="10" spans="1:14" ht="51">
      <c r="A10" s="12">
        <v>3</v>
      </c>
      <c r="B10" s="24" t="s">
        <v>103</v>
      </c>
      <c r="C10" s="38" t="s">
        <v>73</v>
      </c>
      <c r="D10" s="24" t="s">
        <v>74</v>
      </c>
      <c r="E10" s="12" t="s">
        <v>131</v>
      </c>
      <c r="F10" s="12"/>
      <c r="G10" s="12"/>
      <c r="H10" s="38">
        <v>46058</v>
      </c>
      <c r="I10" s="38">
        <v>46062</v>
      </c>
      <c r="J10" s="38" t="s">
        <v>102</v>
      </c>
      <c r="K10" s="38">
        <v>46069</v>
      </c>
      <c r="L10" s="11" t="s">
        <v>81</v>
      </c>
      <c r="M10" s="119" t="s">
        <v>165</v>
      </c>
      <c r="N10" s="40"/>
    </row>
    <row r="11" spans="1:14" ht="63.75">
      <c r="A11" s="12">
        <v>4</v>
      </c>
      <c r="B11" s="24" t="s">
        <v>107</v>
      </c>
      <c r="C11" s="39">
        <v>46087</v>
      </c>
      <c r="D11" s="24" t="s">
        <v>106</v>
      </c>
      <c r="E11" s="12" t="s">
        <v>131</v>
      </c>
      <c r="F11" s="12"/>
      <c r="G11" s="12"/>
      <c r="H11" s="38">
        <v>46073</v>
      </c>
      <c r="I11" s="38">
        <v>46073</v>
      </c>
      <c r="J11" s="38" t="s">
        <v>102</v>
      </c>
      <c r="K11" s="38">
        <v>46080</v>
      </c>
      <c r="L11" s="11" t="s">
        <v>86</v>
      </c>
      <c r="M11" s="119" t="s">
        <v>163</v>
      </c>
      <c r="N11" s="40"/>
    </row>
    <row r="12" spans="1:14" ht="38.25">
      <c r="A12" s="12">
        <v>5</v>
      </c>
      <c r="B12" s="24" t="s">
        <v>117</v>
      </c>
      <c r="C12" s="39">
        <v>46092</v>
      </c>
      <c r="D12" s="24" t="s">
        <v>120</v>
      </c>
      <c r="E12" s="12" t="s">
        <v>168</v>
      </c>
      <c r="F12" s="12"/>
      <c r="G12" s="12"/>
      <c r="H12" s="38">
        <v>46084</v>
      </c>
      <c r="I12" s="38">
        <v>46084</v>
      </c>
      <c r="J12" s="38">
        <v>46087</v>
      </c>
      <c r="K12" s="38">
        <v>46087</v>
      </c>
      <c r="L12" s="11" t="s">
        <v>121</v>
      </c>
      <c r="M12" s="119" t="s">
        <v>164</v>
      </c>
      <c r="N12" s="40"/>
    </row>
    <row r="13" spans="1:14" ht="38.25">
      <c r="A13" s="12">
        <v>6</v>
      </c>
      <c r="B13" s="24" t="s">
        <v>21</v>
      </c>
      <c r="C13" s="38">
        <v>46093</v>
      </c>
      <c r="D13" s="24" t="s">
        <v>84</v>
      </c>
      <c r="E13" s="12" t="s">
        <v>168</v>
      </c>
      <c r="F13" s="12"/>
      <c r="G13" s="12"/>
      <c r="H13" s="38">
        <v>46069</v>
      </c>
      <c r="I13" s="38">
        <v>46071</v>
      </c>
      <c r="J13" s="38">
        <v>46076</v>
      </c>
      <c r="K13" s="38">
        <v>46076</v>
      </c>
      <c r="L13" s="11" t="s">
        <v>85</v>
      </c>
      <c r="M13" s="119" t="s">
        <v>163</v>
      </c>
      <c r="N13" s="40"/>
    </row>
    <row r="14" spans="1:14" ht="45">
      <c r="A14" s="12">
        <v>7</v>
      </c>
      <c r="B14" s="24" t="s">
        <v>89</v>
      </c>
      <c r="C14" s="38" t="s">
        <v>125</v>
      </c>
      <c r="D14" s="24" t="s">
        <v>88</v>
      </c>
      <c r="E14" s="12" t="s">
        <v>167</v>
      </c>
      <c r="F14" s="12"/>
      <c r="G14" s="12"/>
      <c r="H14" s="38">
        <v>46058</v>
      </c>
      <c r="I14" s="38">
        <v>46062</v>
      </c>
      <c r="J14" s="38" t="s">
        <v>102</v>
      </c>
      <c r="K14" s="38">
        <v>46076</v>
      </c>
      <c r="L14" s="11" t="s">
        <v>87</v>
      </c>
      <c r="M14" s="119" t="s">
        <v>166</v>
      </c>
      <c r="N14" s="40"/>
    </row>
    <row r="15" spans="1:14" ht="30">
      <c r="A15" s="12">
        <v>8</v>
      </c>
      <c r="B15" s="24" t="s">
        <v>146</v>
      </c>
      <c r="C15" s="38">
        <v>46108</v>
      </c>
      <c r="D15" s="24" t="s">
        <v>147</v>
      </c>
      <c r="E15" s="12" t="s">
        <v>131</v>
      </c>
      <c r="F15" s="12"/>
      <c r="G15" s="12"/>
      <c r="H15" s="38">
        <v>46105</v>
      </c>
      <c r="I15" s="38">
        <v>45740</v>
      </c>
      <c r="J15" s="38" t="s">
        <v>102</v>
      </c>
      <c r="K15" s="38">
        <v>46106</v>
      </c>
      <c r="L15" s="11" t="s">
        <v>148</v>
      </c>
      <c r="M15" s="119" t="s">
        <v>173</v>
      </c>
      <c r="N15" s="40"/>
    </row>
    <row r="16" spans="1:14" ht="45">
      <c r="A16" s="126">
        <v>9</v>
      </c>
      <c r="B16" s="127" t="s">
        <v>169</v>
      </c>
      <c r="C16" s="128">
        <v>46111</v>
      </c>
      <c r="D16" s="127" t="s">
        <v>127</v>
      </c>
      <c r="E16" s="126" t="s">
        <v>130</v>
      </c>
      <c r="F16" s="126"/>
      <c r="G16" s="126"/>
      <c r="H16" s="128">
        <v>46093</v>
      </c>
      <c r="I16" s="128">
        <v>46093</v>
      </c>
      <c r="J16" s="128" t="s">
        <v>102</v>
      </c>
      <c r="K16" s="128"/>
      <c r="L16" s="129" t="s">
        <v>134</v>
      </c>
      <c r="M16" s="130"/>
      <c r="N16" s="131" t="s">
        <v>172</v>
      </c>
    </row>
    <row r="17" spans="1:14" ht="38.25">
      <c r="A17" s="126">
        <v>10</v>
      </c>
      <c r="B17" s="127" t="s">
        <v>170</v>
      </c>
      <c r="C17" s="128">
        <v>46111</v>
      </c>
      <c r="D17" s="127" t="s">
        <v>143</v>
      </c>
      <c r="E17" s="126" t="s">
        <v>144</v>
      </c>
      <c r="F17" s="126"/>
      <c r="G17" s="126"/>
      <c r="H17" s="128">
        <v>46105</v>
      </c>
      <c r="I17" s="128">
        <v>46105</v>
      </c>
      <c r="J17" s="128" t="s">
        <v>102</v>
      </c>
      <c r="K17" s="128"/>
      <c r="L17" s="129" t="s">
        <v>145</v>
      </c>
      <c r="M17" s="130"/>
      <c r="N17" s="131" t="s">
        <v>172</v>
      </c>
    </row>
    <row r="18" spans="1:14">
      <c r="A18" s="182" t="s">
        <v>29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</row>
    <row r="19" spans="1:14" ht="51">
      <c r="A19" s="12">
        <v>11</v>
      </c>
      <c r="B19" s="24" t="s">
        <v>152</v>
      </c>
      <c r="C19" s="38">
        <v>46118</v>
      </c>
      <c r="D19" s="24" t="s">
        <v>153</v>
      </c>
      <c r="E19" s="12" t="s">
        <v>154</v>
      </c>
      <c r="F19" s="12"/>
      <c r="G19" s="12"/>
      <c r="H19" s="38">
        <v>46105</v>
      </c>
      <c r="I19" s="38">
        <v>46105</v>
      </c>
      <c r="J19" s="38">
        <v>46096</v>
      </c>
      <c r="K19" s="38">
        <v>46113</v>
      </c>
      <c r="L19" s="115" t="s">
        <v>155</v>
      </c>
      <c r="M19" s="120" t="s">
        <v>184</v>
      </c>
      <c r="N19" s="40"/>
    </row>
    <row r="20" spans="1:14" ht="30">
      <c r="A20" s="12">
        <v>12</v>
      </c>
      <c r="B20" s="24" t="s">
        <v>126</v>
      </c>
      <c r="C20" s="38">
        <v>46121</v>
      </c>
      <c r="D20" s="24" t="s">
        <v>133</v>
      </c>
      <c r="E20" s="12" t="s">
        <v>132</v>
      </c>
      <c r="F20" s="12"/>
      <c r="G20" s="12"/>
      <c r="H20" s="38">
        <v>46097</v>
      </c>
      <c r="I20" s="38">
        <v>46098</v>
      </c>
      <c r="J20" s="38" t="s">
        <v>102</v>
      </c>
      <c r="K20" s="38">
        <v>46113</v>
      </c>
      <c r="L20" s="11" t="s">
        <v>135</v>
      </c>
      <c r="M20" s="119" t="s">
        <v>188</v>
      </c>
      <c r="N20" s="40"/>
    </row>
    <row r="21" spans="1:14" ht="30">
      <c r="A21" s="12">
        <v>13</v>
      </c>
      <c r="B21" s="24" t="s">
        <v>156</v>
      </c>
      <c r="C21" s="38">
        <v>46125</v>
      </c>
      <c r="D21" s="24" t="s">
        <v>157</v>
      </c>
      <c r="E21" s="12" t="s">
        <v>168</v>
      </c>
      <c r="F21" s="12"/>
      <c r="G21" s="12"/>
      <c r="H21" s="38">
        <v>46107</v>
      </c>
      <c r="I21" s="38">
        <v>46107</v>
      </c>
      <c r="J21" s="38" t="s">
        <v>102</v>
      </c>
      <c r="K21" s="38">
        <v>46119</v>
      </c>
      <c r="L21" s="11" t="s">
        <v>159</v>
      </c>
      <c r="M21" s="119" t="s">
        <v>189</v>
      </c>
      <c r="N21" s="40"/>
    </row>
    <row r="22" spans="1:14" ht="38.25">
      <c r="A22" s="12">
        <v>14</v>
      </c>
      <c r="B22" s="24" t="s">
        <v>183</v>
      </c>
      <c r="C22" s="38">
        <v>46127</v>
      </c>
      <c r="D22" s="24" t="s">
        <v>158</v>
      </c>
      <c r="E22" s="12" t="s">
        <v>168</v>
      </c>
      <c r="F22" s="12"/>
      <c r="G22" s="12"/>
      <c r="H22" s="38">
        <v>46107</v>
      </c>
      <c r="I22" s="38">
        <v>46107</v>
      </c>
      <c r="J22" s="38" t="s">
        <v>102</v>
      </c>
      <c r="K22" s="38">
        <v>46119</v>
      </c>
      <c r="L22" s="11" t="s">
        <v>160</v>
      </c>
      <c r="M22" s="119" t="s">
        <v>190</v>
      </c>
      <c r="N22" s="40"/>
    </row>
    <row r="23" spans="1:14" ht="30">
      <c r="A23" s="12">
        <v>15</v>
      </c>
      <c r="B23" s="24" t="s">
        <v>109</v>
      </c>
      <c r="C23" s="38">
        <v>46135</v>
      </c>
      <c r="D23" s="24" t="s">
        <v>110</v>
      </c>
      <c r="E23" s="12" t="s">
        <v>168</v>
      </c>
      <c r="F23" s="12"/>
      <c r="G23" s="12"/>
      <c r="H23" s="38">
        <v>46064</v>
      </c>
      <c r="I23" s="38">
        <v>46065</v>
      </c>
      <c r="J23" s="38">
        <v>46073</v>
      </c>
      <c r="K23" s="38">
        <v>46073</v>
      </c>
      <c r="L23" s="11" t="s">
        <v>111</v>
      </c>
      <c r="M23" s="119" t="s">
        <v>191</v>
      </c>
      <c r="N23" s="40"/>
    </row>
    <row r="24" spans="1:14">
      <c r="A24" s="182" t="s">
        <v>112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</row>
    <row r="25" spans="1:14" ht="30">
      <c r="A25" s="12">
        <v>16</v>
      </c>
      <c r="B25" s="24" t="s">
        <v>23</v>
      </c>
      <c r="C25" s="38">
        <v>46148</v>
      </c>
      <c r="D25" s="24" t="s">
        <v>113</v>
      </c>
      <c r="E25" s="12" t="s">
        <v>167</v>
      </c>
      <c r="F25" s="12"/>
      <c r="G25" s="12"/>
      <c r="H25" s="38">
        <v>46071</v>
      </c>
      <c r="I25" s="38">
        <v>46072</v>
      </c>
      <c r="J25" s="38" t="s">
        <v>102</v>
      </c>
      <c r="K25" s="38"/>
      <c r="L25" s="11" t="s">
        <v>114</v>
      </c>
      <c r="M25" s="119" t="s">
        <v>192</v>
      </c>
      <c r="N25" s="40"/>
    </row>
    <row r="26" spans="1:14">
      <c r="A26" s="182" t="s">
        <v>193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</row>
    <row r="27" spans="1:14" ht="38.25">
      <c r="A27" s="12">
        <v>17</v>
      </c>
      <c r="B27" s="24" t="s">
        <v>194</v>
      </c>
      <c r="C27" s="38" t="s">
        <v>195</v>
      </c>
      <c r="D27" s="24" t="s">
        <v>196</v>
      </c>
      <c r="E27" s="12" t="s">
        <v>197</v>
      </c>
      <c r="F27" s="12"/>
      <c r="G27" s="12"/>
      <c r="H27" s="38"/>
      <c r="I27" s="38"/>
      <c r="J27" s="38"/>
      <c r="K27" s="38"/>
      <c r="L27" s="24"/>
      <c r="M27" s="117"/>
      <c r="N27" s="40"/>
    </row>
    <row r="28" spans="1:14">
      <c r="A28" s="12"/>
      <c r="B28" s="24"/>
      <c r="C28" s="38"/>
      <c r="D28" s="24"/>
      <c r="E28" s="12"/>
      <c r="F28" s="12"/>
      <c r="G28" s="12"/>
      <c r="H28" s="38"/>
      <c r="I28" s="38"/>
      <c r="J28" s="38"/>
      <c r="K28" s="38"/>
      <c r="L28" s="24"/>
      <c r="M28" s="117"/>
      <c r="N28" s="40"/>
    </row>
    <row r="29" spans="1:14">
      <c r="A29" s="12"/>
      <c r="B29" s="24"/>
      <c r="C29" s="38"/>
      <c r="D29" s="24"/>
      <c r="E29" s="12"/>
      <c r="F29" s="12"/>
      <c r="G29" s="12"/>
      <c r="H29" s="38"/>
      <c r="I29" s="38"/>
      <c r="J29" s="38"/>
      <c r="K29" s="38"/>
      <c r="L29" s="24"/>
      <c r="M29" s="117"/>
      <c r="N29" s="40"/>
    </row>
    <row r="30" spans="1:14">
      <c r="A30" s="12"/>
      <c r="B30" s="24"/>
      <c r="C30" s="38"/>
      <c r="D30" s="24"/>
      <c r="E30" s="12"/>
      <c r="F30" s="12"/>
      <c r="G30" s="12"/>
      <c r="H30" s="38"/>
      <c r="I30" s="38"/>
      <c r="J30" s="38"/>
      <c r="K30" s="38"/>
      <c r="L30" s="24"/>
      <c r="M30" s="117"/>
      <c r="N30" s="40"/>
    </row>
    <row r="31" spans="1:14">
      <c r="A31" s="12"/>
      <c r="B31" s="24"/>
      <c r="C31" s="38"/>
      <c r="D31" s="24"/>
      <c r="E31" s="12"/>
      <c r="F31" s="12"/>
      <c r="G31" s="12"/>
      <c r="H31" s="38"/>
      <c r="I31" s="38"/>
      <c r="J31" s="38"/>
      <c r="K31" s="38"/>
      <c r="L31" s="24"/>
      <c r="M31" s="117"/>
      <c r="N31" s="40"/>
    </row>
    <row r="32" spans="1:14">
      <c r="A32" s="12"/>
      <c r="B32" s="24"/>
      <c r="C32" s="38"/>
      <c r="D32" s="24"/>
      <c r="E32" s="12"/>
      <c r="F32" s="12"/>
      <c r="G32" s="12"/>
      <c r="H32" s="38"/>
      <c r="I32" s="38"/>
      <c r="J32" s="38"/>
      <c r="K32" s="38"/>
      <c r="L32" s="24"/>
      <c r="M32" s="117"/>
      <c r="N32" s="40"/>
    </row>
    <row r="33" spans="1:14">
      <c r="A33" s="12"/>
      <c r="B33" s="24"/>
      <c r="C33" s="38"/>
      <c r="D33" s="24"/>
      <c r="E33" s="12"/>
      <c r="F33" s="12"/>
      <c r="G33" s="12"/>
      <c r="H33" s="38"/>
      <c r="I33" s="38"/>
      <c r="J33" s="38"/>
      <c r="K33" s="38"/>
      <c r="L33" s="24"/>
      <c r="M33" s="117"/>
      <c r="N33" s="40"/>
    </row>
    <row r="34" spans="1:14">
      <c r="A34" s="12"/>
      <c r="B34" s="24"/>
      <c r="C34" s="38"/>
      <c r="D34" s="24"/>
      <c r="E34" s="12"/>
      <c r="F34" s="12"/>
      <c r="G34" s="12"/>
      <c r="H34" s="38"/>
      <c r="I34" s="38"/>
      <c r="J34" s="38"/>
      <c r="K34" s="38"/>
      <c r="L34" s="24"/>
      <c r="M34" s="117"/>
      <c r="N34" s="40"/>
    </row>
    <row r="35" spans="1:14">
      <c r="A35" s="12"/>
      <c r="B35" s="24"/>
      <c r="C35" s="38"/>
      <c r="D35" s="24"/>
      <c r="E35" s="12"/>
      <c r="F35" s="12"/>
      <c r="G35" s="12"/>
      <c r="H35" s="38"/>
      <c r="I35" s="38"/>
      <c r="J35" s="38"/>
      <c r="K35" s="38"/>
      <c r="L35" s="24"/>
      <c r="M35" s="117"/>
      <c r="N35" s="40"/>
    </row>
    <row r="36" spans="1:14">
      <c r="A36" s="12"/>
      <c r="B36" s="24"/>
      <c r="C36" s="38"/>
      <c r="D36" s="24"/>
      <c r="E36" s="12"/>
      <c r="F36" s="12"/>
      <c r="G36" s="12"/>
      <c r="H36" s="38"/>
      <c r="I36" s="38"/>
      <c r="J36" s="38"/>
      <c r="K36" s="38"/>
      <c r="L36" s="24"/>
      <c r="M36" s="117"/>
      <c r="N36" s="40"/>
    </row>
    <row r="37" spans="1:14">
      <c r="A37" s="12"/>
      <c r="B37" s="24"/>
      <c r="C37" s="38"/>
      <c r="D37" s="24"/>
      <c r="E37" s="12"/>
      <c r="F37" s="12"/>
      <c r="G37" s="12"/>
      <c r="H37" s="38"/>
      <c r="I37" s="38"/>
      <c r="J37" s="38"/>
      <c r="K37" s="38"/>
      <c r="L37" s="24"/>
      <c r="M37" s="117"/>
      <c r="N37" s="40"/>
    </row>
    <row r="38" spans="1:14">
      <c r="A38" s="12"/>
      <c r="B38" s="24"/>
      <c r="C38" s="38"/>
      <c r="D38" s="24"/>
      <c r="E38" s="12"/>
      <c r="F38" s="12"/>
      <c r="G38" s="12"/>
      <c r="H38" s="38"/>
      <c r="I38" s="38"/>
      <c r="J38" s="38"/>
      <c r="K38" s="38"/>
      <c r="L38" s="24"/>
      <c r="M38" s="117"/>
      <c r="N38" s="40"/>
    </row>
    <row r="39" spans="1:14">
      <c r="A39" s="12"/>
      <c r="B39" s="24"/>
      <c r="C39" s="38"/>
      <c r="D39" s="24"/>
      <c r="E39" s="12"/>
      <c r="F39" s="12"/>
      <c r="G39" s="12"/>
      <c r="H39" s="38"/>
      <c r="I39" s="38"/>
      <c r="J39" s="38"/>
      <c r="K39" s="38"/>
      <c r="L39" s="24"/>
      <c r="M39" s="117"/>
      <c r="N39" s="40"/>
    </row>
  </sheetData>
  <mergeCells count="14">
    <mergeCell ref="A26:N26"/>
    <mergeCell ref="A24:N24"/>
    <mergeCell ref="H4:L4"/>
    <mergeCell ref="A4:A5"/>
    <mergeCell ref="B4:B5"/>
    <mergeCell ref="C4:C5"/>
    <mergeCell ref="D4:D5"/>
    <mergeCell ref="E4:E5"/>
    <mergeCell ref="F4:G4"/>
    <mergeCell ref="A2:L2"/>
    <mergeCell ref="N4:N5"/>
    <mergeCell ref="A6:N6"/>
    <mergeCell ref="A9:N9"/>
    <mergeCell ref="A18:N18"/>
  </mergeCells>
  <phoneticPr fontId="21" type="noConversion"/>
  <hyperlinks>
    <hyperlink ref="L7" r:id="rId1" xr:uid="{9EC1A4C8-AEFC-45DB-AD07-5183A69C1286}"/>
    <hyperlink ref="L8" r:id="rId2" xr:uid="{28AF661D-3E88-4857-ABDB-6EA1CFDF3733}"/>
    <hyperlink ref="L10" r:id="rId3" xr:uid="{DA801F7C-D19B-400B-9A71-001B1C530993}"/>
    <hyperlink ref="L11" r:id="rId4" xr:uid="{10F2EA43-6CE6-421C-B75E-A9CEC49A1551}"/>
    <hyperlink ref="L13" r:id="rId5" xr:uid="{C3D3644A-EF85-495B-84F8-93BB04F122BC}"/>
    <hyperlink ref="L14" r:id="rId6" xr:uid="{B7498A60-7483-494A-9B17-C6C527BB421B}"/>
    <hyperlink ref="L23" r:id="rId7" xr:uid="{949B46B8-E6E5-4D3C-BCBF-D1F0B2A7B6B7}"/>
    <hyperlink ref="L25" r:id="rId8" xr:uid="{B68D0B51-5CE8-48C6-8382-56416601A1B9}"/>
    <hyperlink ref="L12" r:id="rId9" xr:uid="{DAED0D8D-07DE-4C54-A6C6-5DAD6CC9619E}"/>
    <hyperlink ref="L16" r:id="rId10" xr:uid="{57774E55-458F-4956-B1D7-31E3C056DE13}"/>
    <hyperlink ref="L20" r:id="rId11" xr:uid="{20C94501-993A-4D95-96CC-B00D9B7E3CE0}"/>
    <hyperlink ref="L17" r:id="rId12" xr:uid="{5A0FD6D6-F6A6-42CF-A601-65AC5F7BC09C}"/>
    <hyperlink ref="L15" r:id="rId13" xr:uid="{1B7B70AB-BD32-42F6-856A-E7269FA4A761}"/>
    <hyperlink ref="L19" r:id="rId14" xr:uid="{5FBEF3AE-25D0-4557-93DA-2133F3545613}"/>
    <hyperlink ref="L21" r:id="rId15" xr:uid="{40D9D627-49EB-4A23-89D3-543EAF505AFF}"/>
    <hyperlink ref="L22" r:id="rId16" xr:uid="{9FEBDF46-364E-42B8-A200-417C81FC2178}"/>
  </hyperlinks>
  <pageMargins left="0.7" right="0.7" top="0.75" bottom="0.75" header="0.3" footer="0.3"/>
  <pageSetup paperSize="9" orientation="portrait" horizontalDpi="0" verticalDpi="0" r:id="rId17"/>
  <drawing r:id="rId18"/>
  <legacyDrawing r:id="rId1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20" name="Check Box 5">
              <controlPr defaultSize="0" autoFill="0" autoLine="0" autoPict="0">
                <anchor moveWithCells="1">
                  <from>
                    <xdr:col>5</xdr:col>
                    <xdr:colOff>342900</xdr:colOff>
                    <xdr:row>6</xdr:row>
                    <xdr:rowOff>114300</xdr:rowOff>
                  </from>
                  <to>
                    <xdr:col>5</xdr:col>
                    <xdr:colOff>561975</xdr:colOff>
                    <xdr:row>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21" name="Check Box 6">
              <controlPr defaultSize="0" autoFill="0" autoLine="0" autoPict="0">
                <anchor moveWithCells="1">
                  <from>
                    <xdr:col>6</xdr:col>
                    <xdr:colOff>342900</xdr:colOff>
                    <xdr:row>6</xdr:row>
                    <xdr:rowOff>114300</xdr:rowOff>
                  </from>
                  <to>
                    <xdr:col>6</xdr:col>
                    <xdr:colOff>561975</xdr:colOff>
                    <xdr:row>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2" name="Check Box 7">
              <controlPr defaultSize="0" autoFill="0" autoLine="0" autoPict="0">
                <anchor moveWithCells="1">
                  <from>
                    <xdr:col>5</xdr:col>
                    <xdr:colOff>342900</xdr:colOff>
                    <xdr:row>7</xdr:row>
                    <xdr:rowOff>114300</xdr:rowOff>
                  </from>
                  <to>
                    <xdr:col>5</xdr:col>
                    <xdr:colOff>561975</xdr:colOff>
                    <xdr:row>7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23" name="Check Box 8">
              <controlPr defaultSize="0" autoFill="0" autoLine="0" autoPict="0">
                <anchor moveWithCells="1">
                  <from>
                    <xdr:col>6</xdr:col>
                    <xdr:colOff>342900</xdr:colOff>
                    <xdr:row>7</xdr:row>
                    <xdr:rowOff>114300</xdr:rowOff>
                  </from>
                  <to>
                    <xdr:col>6</xdr:col>
                    <xdr:colOff>561975</xdr:colOff>
                    <xdr:row>7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24" name="Check Box 9">
              <controlPr defaultSize="0" autoFill="0" autoLine="0" autoPict="0">
                <anchor moveWithCells="1">
                  <from>
                    <xdr:col>5</xdr:col>
                    <xdr:colOff>342900</xdr:colOff>
                    <xdr:row>9</xdr:row>
                    <xdr:rowOff>114300</xdr:rowOff>
                  </from>
                  <to>
                    <xdr:col>5</xdr:col>
                    <xdr:colOff>561975</xdr:colOff>
                    <xdr:row>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25" name="Check Box 10">
              <controlPr defaultSize="0" autoFill="0" autoLine="0" autoPict="0">
                <anchor moveWithCells="1">
                  <from>
                    <xdr:col>6</xdr:col>
                    <xdr:colOff>342900</xdr:colOff>
                    <xdr:row>9</xdr:row>
                    <xdr:rowOff>114300</xdr:rowOff>
                  </from>
                  <to>
                    <xdr:col>6</xdr:col>
                    <xdr:colOff>561975</xdr:colOff>
                    <xdr:row>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26" name="Check Box 11">
              <controlPr defaultSize="0" autoFill="0" autoLine="0" autoPict="0">
                <anchor moveWithCells="1">
                  <from>
                    <xdr:col>5</xdr:col>
                    <xdr:colOff>342900</xdr:colOff>
                    <xdr:row>10</xdr:row>
                    <xdr:rowOff>114300</xdr:rowOff>
                  </from>
                  <to>
                    <xdr:col>5</xdr:col>
                    <xdr:colOff>561975</xdr:colOff>
                    <xdr:row>10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27" name="Check Box 12">
              <controlPr defaultSize="0" autoFill="0" autoLine="0" autoPict="0">
                <anchor moveWithCells="1">
                  <from>
                    <xdr:col>6</xdr:col>
                    <xdr:colOff>342900</xdr:colOff>
                    <xdr:row>10</xdr:row>
                    <xdr:rowOff>114300</xdr:rowOff>
                  </from>
                  <to>
                    <xdr:col>6</xdr:col>
                    <xdr:colOff>561975</xdr:colOff>
                    <xdr:row>10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28" name="Check Box 13">
              <controlPr defaultSize="0" autoFill="0" autoLine="0" autoPict="0">
                <anchor moveWithCells="1">
                  <from>
                    <xdr:col>5</xdr:col>
                    <xdr:colOff>342900</xdr:colOff>
                    <xdr:row>11</xdr:row>
                    <xdr:rowOff>114300</xdr:rowOff>
                  </from>
                  <to>
                    <xdr:col>5</xdr:col>
                    <xdr:colOff>561975</xdr:colOff>
                    <xdr:row>11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29" name="Check Box 14">
              <controlPr defaultSize="0" autoFill="0" autoLine="0" autoPict="0">
                <anchor moveWithCells="1">
                  <from>
                    <xdr:col>6</xdr:col>
                    <xdr:colOff>342900</xdr:colOff>
                    <xdr:row>11</xdr:row>
                    <xdr:rowOff>114300</xdr:rowOff>
                  </from>
                  <to>
                    <xdr:col>6</xdr:col>
                    <xdr:colOff>561975</xdr:colOff>
                    <xdr:row>11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30" name="Check Box 15">
              <controlPr defaultSize="0" autoFill="0" autoLine="0" autoPict="0">
                <anchor moveWithCells="1">
                  <from>
                    <xdr:col>5</xdr:col>
                    <xdr:colOff>342900</xdr:colOff>
                    <xdr:row>12</xdr:row>
                    <xdr:rowOff>114300</xdr:rowOff>
                  </from>
                  <to>
                    <xdr:col>5</xdr:col>
                    <xdr:colOff>561975</xdr:colOff>
                    <xdr:row>12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31" name="Check Box 16">
              <controlPr defaultSize="0" autoFill="0" autoLine="0" autoPict="0">
                <anchor moveWithCells="1">
                  <from>
                    <xdr:col>6</xdr:col>
                    <xdr:colOff>342900</xdr:colOff>
                    <xdr:row>12</xdr:row>
                    <xdr:rowOff>114300</xdr:rowOff>
                  </from>
                  <to>
                    <xdr:col>6</xdr:col>
                    <xdr:colOff>561975</xdr:colOff>
                    <xdr:row>12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32" name="Check Box 17">
              <controlPr defaultSize="0" autoFill="0" autoLine="0" autoPict="0">
                <anchor moveWithCells="1">
                  <from>
                    <xdr:col>5</xdr:col>
                    <xdr:colOff>342900</xdr:colOff>
                    <xdr:row>13</xdr:row>
                    <xdr:rowOff>114300</xdr:rowOff>
                  </from>
                  <to>
                    <xdr:col>5</xdr:col>
                    <xdr:colOff>561975</xdr:colOff>
                    <xdr:row>13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33" name="Check Box 18">
              <controlPr defaultSize="0" autoFill="0" autoLine="0" autoPict="0">
                <anchor moveWithCells="1">
                  <from>
                    <xdr:col>6</xdr:col>
                    <xdr:colOff>342900</xdr:colOff>
                    <xdr:row>13</xdr:row>
                    <xdr:rowOff>114300</xdr:rowOff>
                  </from>
                  <to>
                    <xdr:col>6</xdr:col>
                    <xdr:colOff>561975</xdr:colOff>
                    <xdr:row>13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34" name="Check Box 19">
              <controlPr defaultSize="0" autoFill="0" autoLine="0" autoPict="0">
                <anchor moveWithCells="1">
                  <from>
                    <xdr:col>5</xdr:col>
                    <xdr:colOff>342900</xdr:colOff>
                    <xdr:row>14</xdr:row>
                    <xdr:rowOff>114300</xdr:rowOff>
                  </from>
                  <to>
                    <xdr:col>5</xdr:col>
                    <xdr:colOff>561975</xdr:colOff>
                    <xdr:row>14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35" name="Check Box 20">
              <controlPr defaultSize="0" autoFill="0" autoLine="0" autoPict="0">
                <anchor moveWithCells="1">
                  <from>
                    <xdr:col>6</xdr:col>
                    <xdr:colOff>342900</xdr:colOff>
                    <xdr:row>14</xdr:row>
                    <xdr:rowOff>114300</xdr:rowOff>
                  </from>
                  <to>
                    <xdr:col>6</xdr:col>
                    <xdr:colOff>561975</xdr:colOff>
                    <xdr:row>14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36" name="Check Box 21">
              <controlPr defaultSize="0" autoFill="0" autoLine="0" autoPict="0">
                <anchor moveWithCells="1">
                  <from>
                    <xdr:col>5</xdr:col>
                    <xdr:colOff>342900</xdr:colOff>
                    <xdr:row>15</xdr:row>
                    <xdr:rowOff>114300</xdr:rowOff>
                  </from>
                  <to>
                    <xdr:col>5</xdr:col>
                    <xdr:colOff>561975</xdr:colOff>
                    <xdr:row>15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37" name="Check Box 22">
              <controlPr defaultSize="0" autoFill="0" autoLine="0" autoPict="0">
                <anchor moveWithCells="1">
                  <from>
                    <xdr:col>6</xdr:col>
                    <xdr:colOff>342900</xdr:colOff>
                    <xdr:row>15</xdr:row>
                    <xdr:rowOff>114300</xdr:rowOff>
                  </from>
                  <to>
                    <xdr:col>6</xdr:col>
                    <xdr:colOff>561975</xdr:colOff>
                    <xdr:row>15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38" name="Check Box 23">
              <controlPr defaultSize="0" autoFill="0" autoLine="0" autoPict="0">
                <anchor moveWithCells="1">
                  <from>
                    <xdr:col>5</xdr:col>
                    <xdr:colOff>342900</xdr:colOff>
                    <xdr:row>16</xdr:row>
                    <xdr:rowOff>114300</xdr:rowOff>
                  </from>
                  <to>
                    <xdr:col>5</xdr:col>
                    <xdr:colOff>561975</xdr:colOff>
                    <xdr:row>16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39" name="Check Box 24">
              <controlPr defaultSize="0" autoFill="0" autoLine="0" autoPict="0">
                <anchor moveWithCells="1">
                  <from>
                    <xdr:col>6</xdr:col>
                    <xdr:colOff>342900</xdr:colOff>
                    <xdr:row>16</xdr:row>
                    <xdr:rowOff>114300</xdr:rowOff>
                  </from>
                  <to>
                    <xdr:col>6</xdr:col>
                    <xdr:colOff>561975</xdr:colOff>
                    <xdr:row>16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40" name="Check Box 25">
              <controlPr defaultSize="0" autoFill="0" autoLine="0" autoPict="0">
                <anchor moveWithCells="1">
                  <from>
                    <xdr:col>5</xdr:col>
                    <xdr:colOff>342900</xdr:colOff>
                    <xdr:row>18</xdr:row>
                    <xdr:rowOff>114300</xdr:rowOff>
                  </from>
                  <to>
                    <xdr:col>5</xdr:col>
                    <xdr:colOff>561975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41" name="Check Box 26">
              <controlPr defaultSize="0" autoFill="0" autoLine="0" autoPict="0">
                <anchor moveWithCells="1">
                  <from>
                    <xdr:col>6</xdr:col>
                    <xdr:colOff>342900</xdr:colOff>
                    <xdr:row>18</xdr:row>
                    <xdr:rowOff>114300</xdr:rowOff>
                  </from>
                  <to>
                    <xdr:col>6</xdr:col>
                    <xdr:colOff>561975</xdr:colOff>
                    <xdr:row>18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42" name="Check Box 27">
              <controlPr defaultSize="0" autoFill="0" autoLine="0" autoPict="0">
                <anchor moveWithCells="1">
                  <from>
                    <xdr:col>5</xdr:col>
                    <xdr:colOff>342900</xdr:colOff>
                    <xdr:row>19</xdr:row>
                    <xdr:rowOff>114300</xdr:rowOff>
                  </from>
                  <to>
                    <xdr:col>5</xdr:col>
                    <xdr:colOff>561975</xdr:colOff>
                    <xdr:row>19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43" name="Check Box 28">
              <controlPr defaultSize="0" autoFill="0" autoLine="0" autoPict="0">
                <anchor moveWithCells="1">
                  <from>
                    <xdr:col>6</xdr:col>
                    <xdr:colOff>342900</xdr:colOff>
                    <xdr:row>19</xdr:row>
                    <xdr:rowOff>114300</xdr:rowOff>
                  </from>
                  <to>
                    <xdr:col>6</xdr:col>
                    <xdr:colOff>561975</xdr:colOff>
                    <xdr:row>19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44" name="Check Box 29">
              <controlPr defaultSize="0" autoFill="0" autoLine="0" autoPict="0">
                <anchor moveWithCells="1">
                  <from>
                    <xdr:col>5</xdr:col>
                    <xdr:colOff>342900</xdr:colOff>
                    <xdr:row>20</xdr:row>
                    <xdr:rowOff>114300</xdr:rowOff>
                  </from>
                  <to>
                    <xdr:col>5</xdr:col>
                    <xdr:colOff>561975</xdr:colOff>
                    <xdr:row>20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45" name="Check Box 30">
              <controlPr defaultSize="0" autoFill="0" autoLine="0" autoPict="0">
                <anchor moveWithCells="1">
                  <from>
                    <xdr:col>6</xdr:col>
                    <xdr:colOff>342900</xdr:colOff>
                    <xdr:row>20</xdr:row>
                    <xdr:rowOff>114300</xdr:rowOff>
                  </from>
                  <to>
                    <xdr:col>6</xdr:col>
                    <xdr:colOff>561975</xdr:colOff>
                    <xdr:row>20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46" name="Check Box 31">
              <controlPr defaultSize="0" autoFill="0" autoLine="0" autoPict="0">
                <anchor moveWithCells="1">
                  <from>
                    <xdr:col>5</xdr:col>
                    <xdr:colOff>342900</xdr:colOff>
                    <xdr:row>21</xdr:row>
                    <xdr:rowOff>114300</xdr:rowOff>
                  </from>
                  <to>
                    <xdr:col>5</xdr:col>
                    <xdr:colOff>561975</xdr:colOff>
                    <xdr:row>21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47" name="Check Box 32">
              <controlPr defaultSize="0" autoFill="0" autoLine="0" autoPict="0">
                <anchor moveWithCells="1">
                  <from>
                    <xdr:col>6</xdr:col>
                    <xdr:colOff>342900</xdr:colOff>
                    <xdr:row>21</xdr:row>
                    <xdr:rowOff>114300</xdr:rowOff>
                  </from>
                  <to>
                    <xdr:col>6</xdr:col>
                    <xdr:colOff>561975</xdr:colOff>
                    <xdr:row>21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48" name="Check Box 33">
              <controlPr defaultSize="0" autoFill="0" autoLine="0" autoPict="0">
                <anchor moveWithCells="1">
                  <from>
                    <xdr:col>5</xdr:col>
                    <xdr:colOff>342900</xdr:colOff>
                    <xdr:row>22</xdr:row>
                    <xdr:rowOff>114300</xdr:rowOff>
                  </from>
                  <to>
                    <xdr:col>5</xdr:col>
                    <xdr:colOff>561975</xdr:colOff>
                    <xdr:row>22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49" name="Check Box 34">
              <controlPr defaultSize="0" autoFill="0" autoLine="0" autoPict="0">
                <anchor moveWithCells="1">
                  <from>
                    <xdr:col>6</xdr:col>
                    <xdr:colOff>342900</xdr:colOff>
                    <xdr:row>22</xdr:row>
                    <xdr:rowOff>114300</xdr:rowOff>
                  </from>
                  <to>
                    <xdr:col>6</xdr:col>
                    <xdr:colOff>561975</xdr:colOff>
                    <xdr:row>22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50" name="Check Box 35">
              <controlPr defaultSize="0" autoFill="0" autoLine="0" autoPict="0">
                <anchor moveWithCells="1">
                  <from>
                    <xdr:col>5</xdr:col>
                    <xdr:colOff>342900</xdr:colOff>
                    <xdr:row>24</xdr:row>
                    <xdr:rowOff>114300</xdr:rowOff>
                  </from>
                  <to>
                    <xdr:col>5</xdr:col>
                    <xdr:colOff>561975</xdr:colOff>
                    <xdr:row>24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51" name="Check Box 36">
              <controlPr defaultSize="0" autoFill="0" autoLine="0" autoPict="0">
                <anchor moveWithCells="1">
                  <from>
                    <xdr:col>6</xdr:col>
                    <xdr:colOff>342900</xdr:colOff>
                    <xdr:row>24</xdr:row>
                    <xdr:rowOff>114300</xdr:rowOff>
                  </from>
                  <to>
                    <xdr:col>6</xdr:col>
                    <xdr:colOff>561975</xdr:colOff>
                    <xdr:row>24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52" name="Check Box 39">
              <controlPr defaultSize="0" autoFill="0" autoLine="0" autoPict="0">
                <anchor moveWithCells="1">
                  <from>
                    <xdr:col>5</xdr:col>
                    <xdr:colOff>342900</xdr:colOff>
                    <xdr:row>25</xdr:row>
                    <xdr:rowOff>114300</xdr:rowOff>
                  </from>
                  <to>
                    <xdr:col>5</xdr:col>
                    <xdr:colOff>561975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53" name="Check Box 40">
              <controlPr defaultSize="0" autoFill="0" autoLine="0" autoPict="0">
                <anchor moveWithCells="1">
                  <from>
                    <xdr:col>6</xdr:col>
                    <xdr:colOff>342900</xdr:colOff>
                    <xdr:row>25</xdr:row>
                    <xdr:rowOff>114300</xdr:rowOff>
                  </from>
                  <to>
                    <xdr:col>6</xdr:col>
                    <xdr:colOff>561975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54" name="Check Box 41">
              <controlPr defaultSize="0" autoFill="0" autoLine="0" autoPict="0">
                <anchor moveWithCells="1">
                  <from>
                    <xdr:col>5</xdr:col>
                    <xdr:colOff>342900</xdr:colOff>
                    <xdr:row>26</xdr:row>
                    <xdr:rowOff>114300</xdr:rowOff>
                  </from>
                  <to>
                    <xdr:col>5</xdr:col>
                    <xdr:colOff>561975</xdr:colOff>
                    <xdr:row>26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55" name="Check Box 42">
              <controlPr defaultSize="0" autoFill="0" autoLine="0" autoPict="0">
                <anchor moveWithCells="1">
                  <from>
                    <xdr:col>6</xdr:col>
                    <xdr:colOff>342900</xdr:colOff>
                    <xdr:row>26</xdr:row>
                    <xdr:rowOff>114300</xdr:rowOff>
                  </from>
                  <to>
                    <xdr:col>6</xdr:col>
                    <xdr:colOff>561975</xdr:colOff>
                    <xdr:row>26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56" name="Check Box 43">
              <controlPr defaultSize="0" autoFill="0" autoLine="0" autoPict="0">
                <anchor moveWithCells="1">
                  <from>
                    <xdr:col>5</xdr:col>
                    <xdr:colOff>342900</xdr:colOff>
                    <xdr:row>27</xdr:row>
                    <xdr:rowOff>114300</xdr:rowOff>
                  </from>
                  <to>
                    <xdr:col>5</xdr:col>
                    <xdr:colOff>561975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57" name="Check Box 44">
              <controlPr defaultSize="0" autoFill="0" autoLine="0" autoPict="0">
                <anchor moveWithCells="1">
                  <from>
                    <xdr:col>6</xdr:col>
                    <xdr:colOff>342900</xdr:colOff>
                    <xdr:row>27</xdr:row>
                    <xdr:rowOff>114300</xdr:rowOff>
                  </from>
                  <to>
                    <xdr:col>6</xdr:col>
                    <xdr:colOff>561975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58" name="Check Box 45">
              <controlPr defaultSize="0" autoFill="0" autoLine="0" autoPict="0">
                <anchor moveWithCells="1">
                  <from>
                    <xdr:col>5</xdr:col>
                    <xdr:colOff>342900</xdr:colOff>
                    <xdr:row>28</xdr:row>
                    <xdr:rowOff>114300</xdr:rowOff>
                  </from>
                  <to>
                    <xdr:col>5</xdr:col>
                    <xdr:colOff>561975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59" name="Check Box 46">
              <controlPr defaultSize="0" autoFill="0" autoLine="0" autoPict="0">
                <anchor moveWithCells="1">
                  <from>
                    <xdr:col>6</xdr:col>
                    <xdr:colOff>342900</xdr:colOff>
                    <xdr:row>28</xdr:row>
                    <xdr:rowOff>114300</xdr:rowOff>
                  </from>
                  <to>
                    <xdr:col>6</xdr:col>
                    <xdr:colOff>561975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60" name="Check Box 47">
              <controlPr defaultSize="0" autoFill="0" autoLine="0" autoPict="0">
                <anchor moveWithCells="1">
                  <from>
                    <xdr:col>5</xdr:col>
                    <xdr:colOff>342900</xdr:colOff>
                    <xdr:row>29</xdr:row>
                    <xdr:rowOff>114300</xdr:rowOff>
                  </from>
                  <to>
                    <xdr:col>5</xdr:col>
                    <xdr:colOff>561975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61" name="Check Box 48">
              <controlPr defaultSize="0" autoFill="0" autoLine="0" autoPict="0">
                <anchor moveWithCells="1">
                  <from>
                    <xdr:col>6</xdr:col>
                    <xdr:colOff>342900</xdr:colOff>
                    <xdr:row>29</xdr:row>
                    <xdr:rowOff>114300</xdr:rowOff>
                  </from>
                  <to>
                    <xdr:col>6</xdr:col>
                    <xdr:colOff>561975</xdr:colOff>
                    <xdr:row>31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62" name="Check Box 49">
              <controlPr defaultSize="0" autoFill="0" autoLine="0" autoPict="0">
                <anchor moveWithCells="1">
                  <from>
                    <xdr:col>5</xdr:col>
                    <xdr:colOff>342900</xdr:colOff>
                    <xdr:row>30</xdr:row>
                    <xdr:rowOff>114300</xdr:rowOff>
                  </from>
                  <to>
                    <xdr:col>5</xdr:col>
                    <xdr:colOff>561975</xdr:colOff>
                    <xdr:row>32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63" name="Check Box 50">
              <controlPr defaultSize="0" autoFill="0" autoLine="0" autoPict="0">
                <anchor moveWithCells="1">
                  <from>
                    <xdr:col>6</xdr:col>
                    <xdr:colOff>342900</xdr:colOff>
                    <xdr:row>30</xdr:row>
                    <xdr:rowOff>114300</xdr:rowOff>
                  </from>
                  <to>
                    <xdr:col>6</xdr:col>
                    <xdr:colOff>561975</xdr:colOff>
                    <xdr:row>32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64" name="Check Box 51">
              <controlPr defaultSize="0" autoFill="0" autoLine="0" autoPict="0">
                <anchor moveWithCells="1">
                  <from>
                    <xdr:col>5</xdr:col>
                    <xdr:colOff>342900</xdr:colOff>
                    <xdr:row>31</xdr:row>
                    <xdr:rowOff>114300</xdr:rowOff>
                  </from>
                  <to>
                    <xdr:col>5</xdr:col>
                    <xdr:colOff>561975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65" name="Check Box 52">
              <controlPr defaultSize="0" autoFill="0" autoLine="0" autoPict="0">
                <anchor moveWithCells="1">
                  <from>
                    <xdr:col>6</xdr:col>
                    <xdr:colOff>342900</xdr:colOff>
                    <xdr:row>31</xdr:row>
                    <xdr:rowOff>114300</xdr:rowOff>
                  </from>
                  <to>
                    <xdr:col>6</xdr:col>
                    <xdr:colOff>561975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6" name="Check Box 53">
              <controlPr defaultSize="0" autoFill="0" autoLine="0" autoPict="0">
                <anchor moveWithCells="1">
                  <from>
                    <xdr:col>5</xdr:col>
                    <xdr:colOff>342900</xdr:colOff>
                    <xdr:row>32</xdr:row>
                    <xdr:rowOff>114300</xdr:rowOff>
                  </from>
                  <to>
                    <xdr:col>5</xdr:col>
                    <xdr:colOff>561975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67" name="Check Box 54">
              <controlPr defaultSize="0" autoFill="0" autoLine="0" autoPict="0">
                <anchor moveWithCells="1">
                  <from>
                    <xdr:col>6</xdr:col>
                    <xdr:colOff>342900</xdr:colOff>
                    <xdr:row>32</xdr:row>
                    <xdr:rowOff>114300</xdr:rowOff>
                  </from>
                  <to>
                    <xdr:col>6</xdr:col>
                    <xdr:colOff>561975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68" name="Check Box 55">
              <controlPr defaultSize="0" autoFill="0" autoLine="0" autoPict="0">
                <anchor moveWithCells="1">
                  <from>
                    <xdr:col>5</xdr:col>
                    <xdr:colOff>342900</xdr:colOff>
                    <xdr:row>33</xdr:row>
                    <xdr:rowOff>114300</xdr:rowOff>
                  </from>
                  <to>
                    <xdr:col>5</xdr:col>
                    <xdr:colOff>561975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69" name="Check Box 56">
              <controlPr defaultSize="0" autoFill="0" autoLine="0" autoPict="0">
                <anchor moveWithCells="1">
                  <from>
                    <xdr:col>6</xdr:col>
                    <xdr:colOff>342900</xdr:colOff>
                    <xdr:row>33</xdr:row>
                    <xdr:rowOff>114300</xdr:rowOff>
                  </from>
                  <to>
                    <xdr:col>6</xdr:col>
                    <xdr:colOff>561975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70" name="Check Box 57">
              <controlPr defaultSize="0" autoFill="0" autoLine="0" autoPict="0">
                <anchor moveWithCells="1">
                  <from>
                    <xdr:col>5</xdr:col>
                    <xdr:colOff>342900</xdr:colOff>
                    <xdr:row>34</xdr:row>
                    <xdr:rowOff>114300</xdr:rowOff>
                  </from>
                  <to>
                    <xdr:col>5</xdr:col>
                    <xdr:colOff>561975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71" name="Check Box 58">
              <controlPr defaultSize="0" autoFill="0" autoLine="0" autoPict="0">
                <anchor moveWithCells="1">
                  <from>
                    <xdr:col>6</xdr:col>
                    <xdr:colOff>342900</xdr:colOff>
                    <xdr:row>34</xdr:row>
                    <xdr:rowOff>114300</xdr:rowOff>
                  </from>
                  <to>
                    <xdr:col>6</xdr:col>
                    <xdr:colOff>561975</xdr:colOff>
                    <xdr:row>36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72" name="Check Box 59">
              <controlPr defaultSize="0" autoFill="0" autoLine="0" autoPict="0">
                <anchor moveWithCells="1">
                  <from>
                    <xdr:col>5</xdr:col>
                    <xdr:colOff>342900</xdr:colOff>
                    <xdr:row>35</xdr:row>
                    <xdr:rowOff>114300</xdr:rowOff>
                  </from>
                  <to>
                    <xdr:col>5</xdr:col>
                    <xdr:colOff>561975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73" name="Check Box 60">
              <controlPr defaultSize="0" autoFill="0" autoLine="0" autoPict="0">
                <anchor moveWithCells="1">
                  <from>
                    <xdr:col>6</xdr:col>
                    <xdr:colOff>342900</xdr:colOff>
                    <xdr:row>35</xdr:row>
                    <xdr:rowOff>114300</xdr:rowOff>
                  </from>
                  <to>
                    <xdr:col>6</xdr:col>
                    <xdr:colOff>561975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74" name="Check Box 61">
              <controlPr defaultSize="0" autoFill="0" autoLine="0" autoPict="0">
                <anchor moveWithCells="1">
                  <from>
                    <xdr:col>5</xdr:col>
                    <xdr:colOff>342900</xdr:colOff>
                    <xdr:row>36</xdr:row>
                    <xdr:rowOff>114300</xdr:rowOff>
                  </from>
                  <to>
                    <xdr:col>5</xdr:col>
                    <xdr:colOff>561975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75" name="Check Box 62">
              <controlPr defaultSize="0" autoFill="0" autoLine="0" autoPict="0">
                <anchor moveWithCells="1">
                  <from>
                    <xdr:col>6</xdr:col>
                    <xdr:colOff>342900</xdr:colOff>
                    <xdr:row>36</xdr:row>
                    <xdr:rowOff>114300</xdr:rowOff>
                  </from>
                  <to>
                    <xdr:col>6</xdr:col>
                    <xdr:colOff>561975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76" name="Check Box 63">
              <controlPr defaultSize="0" autoFill="0" autoLine="0" autoPict="0">
                <anchor moveWithCells="1">
                  <from>
                    <xdr:col>5</xdr:col>
                    <xdr:colOff>342900</xdr:colOff>
                    <xdr:row>37</xdr:row>
                    <xdr:rowOff>114300</xdr:rowOff>
                  </from>
                  <to>
                    <xdr:col>5</xdr:col>
                    <xdr:colOff>561975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77" name="Check Box 64">
              <controlPr defaultSize="0" autoFill="0" autoLine="0" autoPict="0">
                <anchor moveWithCells="1">
                  <from>
                    <xdr:col>6</xdr:col>
                    <xdr:colOff>342900</xdr:colOff>
                    <xdr:row>37</xdr:row>
                    <xdr:rowOff>114300</xdr:rowOff>
                  </from>
                  <to>
                    <xdr:col>6</xdr:col>
                    <xdr:colOff>561975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78" name="Check Box 65">
              <controlPr defaultSize="0" autoFill="0" autoLine="0" autoPict="0">
                <anchor moveWithCells="1">
                  <from>
                    <xdr:col>5</xdr:col>
                    <xdr:colOff>342900</xdr:colOff>
                    <xdr:row>25</xdr:row>
                    <xdr:rowOff>114300</xdr:rowOff>
                  </from>
                  <to>
                    <xdr:col>5</xdr:col>
                    <xdr:colOff>561975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79" name="Check Box 66">
              <controlPr defaultSize="0" autoFill="0" autoLine="0" autoPict="0">
                <anchor moveWithCells="1">
                  <from>
                    <xdr:col>5</xdr:col>
                    <xdr:colOff>342900</xdr:colOff>
                    <xdr:row>24</xdr:row>
                    <xdr:rowOff>114300</xdr:rowOff>
                  </from>
                  <to>
                    <xdr:col>5</xdr:col>
                    <xdr:colOff>561975</xdr:colOff>
                    <xdr:row>24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80" name="Check Box 67">
              <controlPr defaultSize="0" autoFill="0" autoLine="0" autoPict="0">
                <anchor moveWithCells="1">
                  <from>
                    <xdr:col>5</xdr:col>
                    <xdr:colOff>342900</xdr:colOff>
                    <xdr:row>24</xdr:row>
                    <xdr:rowOff>114300</xdr:rowOff>
                  </from>
                  <to>
                    <xdr:col>5</xdr:col>
                    <xdr:colOff>561975</xdr:colOff>
                    <xdr:row>24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65C1-6343-4EC9-8A75-873F275E5C22}">
  <sheetPr>
    <pageSetUpPr fitToPage="1"/>
  </sheetPr>
  <dimension ref="A10:P31"/>
  <sheetViews>
    <sheetView topLeftCell="A10" workbookViewId="0">
      <selection activeCell="I26" sqref="I26"/>
    </sheetView>
  </sheetViews>
  <sheetFormatPr defaultColWidth="8.85546875" defaultRowHeight="14.25"/>
  <cols>
    <col min="1" max="1" width="22.42578125" style="45" customWidth="1"/>
    <col min="2" max="2" width="14.85546875" style="45" customWidth="1"/>
    <col min="3" max="3" width="29.140625" style="1" customWidth="1"/>
    <col min="4" max="4" width="29.28515625" style="1" customWidth="1"/>
    <col min="5" max="5" width="14.5703125" style="4" customWidth="1"/>
    <col min="6" max="6" width="9" style="1" customWidth="1"/>
    <col min="7" max="8" width="9.7109375" style="1" customWidth="1"/>
    <col min="9" max="9" width="9" style="1" customWidth="1"/>
    <col min="10" max="10" width="10" style="1" customWidth="1"/>
    <col min="11" max="11" width="9.7109375" style="1" customWidth="1"/>
    <col min="12" max="12" width="15.140625" style="1" customWidth="1"/>
    <col min="13" max="13" width="12.28515625" style="1" customWidth="1"/>
    <col min="14" max="14" width="11.28515625" style="1" customWidth="1"/>
    <col min="15" max="15" width="21.28515625" style="45" customWidth="1"/>
    <col min="16" max="16" width="20.5703125" style="2" customWidth="1"/>
    <col min="17" max="16384" width="8.85546875" style="2"/>
  </cols>
  <sheetData>
    <row r="10" spans="1:15" ht="19.5">
      <c r="A10" s="194" t="s">
        <v>19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</row>
    <row r="11" spans="1:15" ht="19.5">
      <c r="A11" s="194" t="s">
        <v>49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</row>
    <row r="12" spans="1:15" ht="15" thickBot="1"/>
    <row r="13" spans="1:15" ht="72" customHeight="1">
      <c r="A13" s="195" t="s">
        <v>20</v>
      </c>
      <c r="B13" s="197" t="s">
        <v>116</v>
      </c>
      <c r="C13" s="197" t="s">
        <v>12</v>
      </c>
      <c r="D13" s="199" t="s">
        <v>54</v>
      </c>
      <c r="E13" s="209" t="s">
        <v>115</v>
      </c>
      <c r="F13" s="217" t="s">
        <v>5</v>
      </c>
      <c r="G13" s="218"/>
      <c r="H13" s="219"/>
      <c r="I13" s="211" t="s">
        <v>50</v>
      </c>
      <c r="J13" s="212"/>
      <c r="K13" s="213"/>
      <c r="L13" s="214" t="s">
        <v>7</v>
      </c>
      <c r="M13" s="215"/>
      <c r="N13" s="216"/>
      <c r="O13" s="201" t="s">
        <v>59</v>
      </c>
    </row>
    <row r="14" spans="1:15" ht="51">
      <c r="A14" s="196"/>
      <c r="B14" s="198"/>
      <c r="C14" s="198"/>
      <c r="D14" s="200"/>
      <c r="E14" s="210"/>
      <c r="F14" s="72" t="s">
        <v>6</v>
      </c>
      <c r="G14" s="21" t="s">
        <v>3</v>
      </c>
      <c r="H14" s="73" t="s">
        <v>10</v>
      </c>
      <c r="I14" s="81" t="s">
        <v>6</v>
      </c>
      <c r="J14" s="22" t="s">
        <v>3</v>
      </c>
      <c r="K14" s="82" t="s">
        <v>10</v>
      </c>
      <c r="L14" s="85" t="s">
        <v>8</v>
      </c>
      <c r="M14" s="23" t="s">
        <v>9</v>
      </c>
      <c r="N14" s="86" t="s">
        <v>10</v>
      </c>
      <c r="O14" s="202"/>
    </row>
    <row r="15" spans="1:15" ht="57">
      <c r="A15" s="92" t="s">
        <v>55</v>
      </c>
      <c r="B15" s="44">
        <v>46076</v>
      </c>
      <c r="C15" s="43" t="s">
        <v>53</v>
      </c>
      <c r="D15" s="93" t="s">
        <v>1</v>
      </c>
      <c r="E15" s="89">
        <v>1</v>
      </c>
      <c r="F15" s="74">
        <f>8+7+5</f>
        <v>20</v>
      </c>
      <c r="G15" s="52">
        <f>3+2+3</f>
        <v>8</v>
      </c>
      <c r="H15" s="75">
        <f>F15+G15</f>
        <v>28</v>
      </c>
      <c r="I15" s="83">
        <v>20</v>
      </c>
      <c r="J15" s="53">
        <v>8</v>
      </c>
      <c r="K15" s="84">
        <f>I15+J15</f>
        <v>28</v>
      </c>
      <c r="L15" s="87">
        <v>1</v>
      </c>
      <c r="M15" s="54"/>
      <c r="N15" s="88">
        <f>L15+M15</f>
        <v>1</v>
      </c>
      <c r="O15" s="55" t="s">
        <v>68</v>
      </c>
    </row>
    <row r="16" spans="1:15" s="68" customFormat="1" ht="15">
      <c r="A16" s="203" t="s">
        <v>14</v>
      </c>
      <c r="B16" s="204"/>
      <c r="C16" s="204"/>
      <c r="D16" s="205"/>
      <c r="E16" s="90">
        <f>E15</f>
        <v>1</v>
      </c>
      <c r="F16" s="76">
        <f>F15</f>
        <v>20</v>
      </c>
      <c r="G16" s="67">
        <f t="shared" ref="G16:H16" si="0">G15</f>
        <v>8</v>
      </c>
      <c r="H16" s="77">
        <f t="shared" si="0"/>
        <v>28</v>
      </c>
      <c r="I16" s="76">
        <f>I15</f>
        <v>20</v>
      </c>
      <c r="J16" s="67">
        <f t="shared" ref="J16:K16" si="1">J15</f>
        <v>8</v>
      </c>
      <c r="K16" s="77">
        <f t="shared" si="1"/>
        <v>28</v>
      </c>
      <c r="L16" s="76">
        <f>L15</f>
        <v>1</v>
      </c>
      <c r="M16" s="67">
        <f t="shared" ref="M16:N16" si="2">M15</f>
        <v>0</v>
      </c>
      <c r="N16" s="77">
        <f t="shared" si="2"/>
        <v>1</v>
      </c>
      <c r="O16" s="66"/>
    </row>
    <row r="17" spans="1:16" ht="36" customHeight="1">
      <c r="A17" s="222" t="s">
        <v>57</v>
      </c>
      <c r="B17" s="221">
        <v>46079</v>
      </c>
      <c r="C17" s="220" t="s">
        <v>56</v>
      </c>
      <c r="D17" s="93" t="s">
        <v>1</v>
      </c>
      <c r="E17" s="223">
        <v>1</v>
      </c>
      <c r="F17" s="224">
        <v>24</v>
      </c>
      <c r="G17" s="227">
        <v>22</v>
      </c>
      <c r="H17" s="230">
        <f>F17+G17</f>
        <v>46</v>
      </c>
      <c r="I17" s="83">
        <v>23</v>
      </c>
      <c r="J17" s="53">
        <v>14</v>
      </c>
      <c r="K17" s="84">
        <f>I17+J17</f>
        <v>37</v>
      </c>
      <c r="L17" s="87">
        <v>1</v>
      </c>
      <c r="M17" s="54"/>
      <c r="N17" s="88">
        <f t="shared" ref="N17:N20" si="3">L17+M17</f>
        <v>1</v>
      </c>
      <c r="O17" s="55" t="s">
        <v>69</v>
      </c>
    </row>
    <row r="18" spans="1:16" ht="35.25" customHeight="1">
      <c r="A18" s="222"/>
      <c r="B18" s="221"/>
      <c r="C18" s="220"/>
      <c r="D18" s="93" t="s">
        <v>2</v>
      </c>
      <c r="E18" s="223"/>
      <c r="F18" s="225"/>
      <c r="G18" s="228"/>
      <c r="H18" s="231"/>
      <c r="I18" s="83">
        <v>0</v>
      </c>
      <c r="J18" s="53">
        <v>1</v>
      </c>
      <c r="K18" s="84">
        <f t="shared" ref="K18:K19" si="4">I18+J18</f>
        <v>1</v>
      </c>
      <c r="L18" s="87">
        <v>1</v>
      </c>
      <c r="M18" s="54"/>
      <c r="N18" s="88">
        <f t="shared" si="3"/>
        <v>1</v>
      </c>
      <c r="O18" s="55" t="s">
        <v>70</v>
      </c>
    </row>
    <row r="19" spans="1:16" ht="39" customHeight="1">
      <c r="A19" s="222"/>
      <c r="B19" s="221"/>
      <c r="C19" s="220"/>
      <c r="D19" s="93" t="s">
        <v>58</v>
      </c>
      <c r="E19" s="223"/>
      <c r="F19" s="225"/>
      <c r="G19" s="228"/>
      <c r="H19" s="231"/>
      <c r="I19" s="83">
        <v>2</v>
      </c>
      <c r="J19" s="53">
        <v>1</v>
      </c>
      <c r="K19" s="84">
        <f t="shared" si="4"/>
        <v>3</v>
      </c>
      <c r="L19" s="87">
        <v>1</v>
      </c>
      <c r="M19" s="54"/>
      <c r="N19" s="88">
        <f t="shared" si="3"/>
        <v>1</v>
      </c>
      <c r="O19" s="55" t="s">
        <v>71</v>
      </c>
    </row>
    <row r="20" spans="1:16" ht="36" customHeight="1">
      <c r="A20" s="222"/>
      <c r="B20" s="221"/>
      <c r="C20" s="220"/>
      <c r="D20" s="93" t="s">
        <v>24</v>
      </c>
      <c r="E20" s="223"/>
      <c r="F20" s="226"/>
      <c r="G20" s="229"/>
      <c r="H20" s="232"/>
      <c r="I20" s="83">
        <v>5</v>
      </c>
      <c r="J20" s="53">
        <v>9</v>
      </c>
      <c r="K20" s="84">
        <f>I20+J20</f>
        <v>14</v>
      </c>
      <c r="L20" s="87">
        <v>1</v>
      </c>
      <c r="M20" s="54"/>
      <c r="N20" s="88">
        <f t="shared" si="3"/>
        <v>1</v>
      </c>
      <c r="O20" s="55" t="s">
        <v>72</v>
      </c>
    </row>
    <row r="21" spans="1:16" s="68" customFormat="1" ht="15">
      <c r="A21" s="203" t="s">
        <v>14</v>
      </c>
      <c r="B21" s="204"/>
      <c r="C21" s="204"/>
      <c r="D21" s="205"/>
      <c r="E21" s="90">
        <f>E17</f>
        <v>1</v>
      </c>
      <c r="F21" s="76">
        <f>SUM(F17:F20)</f>
        <v>24</v>
      </c>
      <c r="G21" s="67">
        <f t="shared" ref="G21:H21" si="5">SUM(G17:G20)</f>
        <v>22</v>
      </c>
      <c r="H21" s="77">
        <f t="shared" si="5"/>
        <v>46</v>
      </c>
      <c r="I21" s="76">
        <f>SUM(I17:I20)</f>
        <v>30</v>
      </c>
      <c r="J21" s="67">
        <f t="shared" ref="J21:K21" si="6">SUM(J17:J20)</f>
        <v>25</v>
      </c>
      <c r="K21" s="77">
        <f t="shared" si="6"/>
        <v>55</v>
      </c>
      <c r="L21" s="76">
        <f>SUM(L17:L20)</f>
        <v>4</v>
      </c>
      <c r="M21" s="67">
        <f t="shared" ref="M21:N21" si="7">SUM(M17:M20)</f>
        <v>0</v>
      </c>
      <c r="N21" s="77">
        <f t="shared" si="7"/>
        <v>4</v>
      </c>
      <c r="O21" s="66"/>
    </row>
    <row r="22" spans="1:16" s="71" customFormat="1" ht="16.5" customHeight="1" thickBot="1">
      <c r="A22" s="206" t="s">
        <v>13</v>
      </c>
      <c r="B22" s="207"/>
      <c r="C22" s="207"/>
      <c r="D22" s="208"/>
      <c r="E22" s="91">
        <f>E16+E21</f>
        <v>2</v>
      </c>
      <c r="F22" s="78">
        <f>F16+F21</f>
        <v>44</v>
      </c>
      <c r="G22" s="79">
        <f t="shared" ref="G22:H22" si="8">G16+G21</f>
        <v>30</v>
      </c>
      <c r="H22" s="80">
        <f t="shared" si="8"/>
        <v>74</v>
      </c>
      <c r="I22" s="78">
        <f>I16+I21</f>
        <v>50</v>
      </c>
      <c r="J22" s="79">
        <f t="shared" ref="J22:K22" si="9">J16+J21</f>
        <v>33</v>
      </c>
      <c r="K22" s="80">
        <f t="shared" si="9"/>
        <v>83</v>
      </c>
      <c r="L22" s="78">
        <f>L16+L21</f>
        <v>5</v>
      </c>
      <c r="M22" s="79">
        <f t="shared" ref="M22:N22" si="10">M16+M21</f>
        <v>0</v>
      </c>
      <c r="N22" s="80">
        <f t="shared" si="10"/>
        <v>5</v>
      </c>
      <c r="O22" s="70"/>
    </row>
    <row r="24" spans="1:16" ht="18">
      <c r="A24" s="62" t="s">
        <v>15</v>
      </c>
      <c r="B24" s="63"/>
      <c r="C24" s="64"/>
      <c r="D24" s="65" t="s">
        <v>51</v>
      </c>
      <c r="F24" s="5"/>
      <c r="P24" s="45" t="s">
        <v>90</v>
      </c>
    </row>
    <row r="25" spans="1:16">
      <c r="A25" s="46"/>
      <c r="D25" s="47"/>
      <c r="F25" s="4"/>
      <c r="P25" s="45"/>
    </row>
    <row r="26" spans="1:16">
      <c r="A26" s="46"/>
      <c r="D26" s="47"/>
      <c r="F26" s="4"/>
      <c r="P26" s="45" t="s">
        <v>63</v>
      </c>
    </row>
    <row r="27" spans="1:16">
      <c r="A27" s="46"/>
      <c r="D27" s="47"/>
      <c r="F27" s="4"/>
      <c r="P27" s="45" t="s">
        <v>66</v>
      </c>
    </row>
    <row r="28" spans="1:16" s="3" customFormat="1" ht="18">
      <c r="A28" s="58" t="s">
        <v>16</v>
      </c>
      <c r="B28" s="59"/>
      <c r="C28" s="60"/>
      <c r="D28" s="61" t="s">
        <v>42</v>
      </c>
      <c r="G28" s="48"/>
      <c r="H28" s="48"/>
      <c r="I28" s="48"/>
      <c r="J28" s="48"/>
      <c r="K28" s="48"/>
      <c r="L28" s="48"/>
      <c r="M28" s="48"/>
      <c r="N28" s="48"/>
      <c r="O28" s="45"/>
      <c r="P28" s="45" t="s">
        <v>61</v>
      </c>
    </row>
    <row r="29" spans="1:16" s="6" customFormat="1">
      <c r="A29" s="49" t="s">
        <v>17</v>
      </c>
      <c r="B29" s="50"/>
      <c r="D29" s="51" t="s">
        <v>43</v>
      </c>
      <c r="G29" s="50"/>
      <c r="H29" s="50"/>
      <c r="I29" s="50"/>
      <c r="J29" s="50"/>
      <c r="K29" s="50"/>
      <c r="L29" s="50"/>
      <c r="M29" s="50"/>
      <c r="N29" s="50"/>
      <c r="O29" s="45"/>
      <c r="P29" s="45" t="s">
        <v>64</v>
      </c>
    </row>
    <row r="30" spans="1:16">
      <c r="D30" s="51" t="s">
        <v>52</v>
      </c>
      <c r="O30" s="56"/>
      <c r="P30" s="56" t="s">
        <v>65</v>
      </c>
    </row>
    <row r="31" spans="1:16">
      <c r="D31" s="57"/>
      <c r="P31" s="45" t="s">
        <v>62</v>
      </c>
    </row>
  </sheetData>
  <mergeCells count="21">
    <mergeCell ref="O13:O14"/>
    <mergeCell ref="A16:D16"/>
    <mergeCell ref="A21:D21"/>
    <mergeCell ref="A22:D22"/>
    <mergeCell ref="E13:E14"/>
    <mergeCell ref="I13:K13"/>
    <mergeCell ref="L13:N13"/>
    <mergeCell ref="F13:H13"/>
    <mergeCell ref="C17:C20"/>
    <mergeCell ref="B17:B20"/>
    <mergeCell ref="A17:A20"/>
    <mergeCell ref="E17:E20"/>
    <mergeCell ref="F17:F20"/>
    <mergeCell ref="G17:G20"/>
    <mergeCell ref="H17:H20"/>
    <mergeCell ref="A10:N10"/>
    <mergeCell ref="A11:N11"/>
    <mergeCell ref="A13:A14"/>
    <mergeCell ref="B13:B14"/>
    <mergeCell ref="C13:C14"/>
    <mergeCell ref="D13:D14"/>
  </mergeCells>
  <pageMargins left="0.63" right="0.54" top="0.75" bottom="0.75" header="0.3" footer="0.3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C841-4613-48B7-934D-AC7EE018E8F1}">
  <sheetPr>
    <pageSetUpPr fitToPage="1"/>
  </sheetPr>
  <dimension ref="A10:O42"/>
  <sheetViews>
    <sheetView topLeftCell="A10" workbookViewId="0">
      <selection activeCell="S24" sqref="S24"/>
    </sheetView>
  </sheetViews>
  <sheetFormatPr defaultColWidth="8.85546875" defaultRowHeight="12.75"/>
  <cols>
    <col min="1" max="1" width="22.42578125" style="20" customWidth="1"/>
    <col min="2" max="2" width="17.5703125" style="20" customWidth="1"/>
    <col min="3" max="3" width="29.140625" style="13" customWidth="1"/>
    <col min="4" max="4" width="29.28515625" style="13" customWidth="1"/>
    <col min="5" max="5" width="13.5703125" style="29" customWidth="1"/>
    <col min="6" max="6" width="9" style="13" customWidth="1"/>
    <col min="7" max="7" width="8.42578125" style="13" customWidth="1"/>
    <col min="8" max="9" width="9.7109375" style="13" customWidth="1"/>
    <col min="10" max="10" width="9.5703125" style="13" customWidth="1"/>
    <col min="11" max="11" width="9.42578125" style="13" customWidth="1"/>
    <col min="12" max="12" width="15.140625" style="13" customWidth="1"/>
    <col min="13" max="13" width="12.28515625" style="13" customWidth="1"/>
    <col min="14" max="14" width="11.28515625" style="13" customWidth="1"/>
    <col min="15" max="15" width="18.7109375" style="20" customWidth="1"/>
    <col min="16" max="16384" width="8.85546875" style="14"/>
  </cols>
  <sheetData>
    <row r="10" spans="1:15">
      <c r="A10" s="233" t="s">
        <v>19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</row>
    <row r="11" spans="1:15">
      <c r="A11" s="234" t="s">
        <v>67</v>
      </c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</row>
    <row r="12" spans="1:15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5" ht="13.5" thickBot="1"/>
    <row r="14" spans="1:15" ht="51.75" customHeight="1">
      <c r="A14" s="235" t="s">
        <v>20</v>
      </c>
      <c r="B14" s="237" t="s">
        <v>11</v>
      </c>
      <c r="C14" s="237" t="s">
        <v>12</v>
      </c>
      <c r="D14" s="239" t="s">
        <v>54</v>
      </c>
      <c r="E14" s="241" t="s">
        <v>4</v>
      </c>
      <c r="F14" s="243" t="s">
        <v>5</v>
      </c>
      <c r="G14" s="244"/>
      <c r="H14" s="245"/>
      <c r="I14" s="246" t="s">
        <v>50</v>
      </c>
      <c r="J14" s="247"/>
      <c r="K14" s="248"/>
      <c r="L14" s="249" t="s">
        <v>7</v>
      </c>
      <c r="M14" s="250"/>
      <c r="N14" s="251"/>
      <c r="O14" s="267" t="s">
        <v>59</v>
      </c>
    </row>
    <row r="15" spans="1:15" ht="51">
      <c r="A15" s="236"/>
      <c r="B15" s="238"/>
      <c r="C15" s="238"/>
      <c r="D15" s="240"/>
      <c r="E15" s="242"/>
      <c r="F15" s="72" t="s">
        <v>6</v>
      </c>
      <c r="G15" s="21" t="s">
        <v>3</v>
      </c>
      <c r="H15" s="151" t="s">
        <v>10</v>
      </c>
      <c r="I15" s="81" t="s">
        <v>6</v>
      </c>
      <c r="J15" s="22" t="s">
        <v>3</v>
      </c>
      <c r="K15" s="82" t="s">
        <v>10</v>
      </c>
      <c r="L15" s="85" t="s">
        <v>8</v>
      </c>
      <c r="M15" s="23" t="s">
        <v>9</v>
      </c>
      <c r="N15" s="86" t="s">
        <v>10</v>
      </c>
      <c r="O15" s="268"/>
    </row>
    <row r="16" spans="1:15" ht="38.25">
      <c r="A16" s="257" t="s">
        <v>77</v>
      </c>
      <c r="B16" s="255" t="s">
        <v>73</v>
      </c>
      <c r="C16" s="256" t="s">
        <v>74</v>
      </c>
      <c r="D16" s="112" t="s">
        <v>75</v>
      </c>
      <c r="E16" s="269">
        <v>1</v>
      </c>
      <c r="F16" s="270">
        <v>16</v>
      </c>
      <c r="G16" s="273">
        <v>55</v>
      </c>
      <c r="H16" s="276">
        <f>F16+G16</f>
        <v>71</v>
      </c>
      <c r="I16" s="102">
        <v>15</v>
      </c>
      <c r="J16" s="25">
        <v>50</v>
      </c>
      <c r="K16" s="143">
        <f>I16+J16</f>
        <v>65</v>
      </c>
      <c r="L16" s="137">
        <v>1</v>
      </c>
      <c r="M16" s="26"/>
      <c r="N16" s="97">
        <f>L16+M16</f>
        <v>1</v>
      </c>
      <c r="O16" s="132" t="s">
        <v>78</v>
      </c>
    </row>
    <row r="17" spans="1:15">
      <c r="A17" s="257"/>
      <c r="B17" s="255"/>
      <c r="C17" s="256"/>
      <c r="D17" s="112" t="s">
        <v>22</v>
      </c>
      <c r="E17" s="269"/>
      <c r="F17" s="271"/>
      <c r="G17" s="274"/>
      <c r="H17" s="277"/>
      <c r="I17" s="102">
        <v>1</v>
      </c>
      <c r="J17" s="25">
        <v>3</v>
      </c>
      <c r="K17" s="143">
        <f t="shared" ref="K17:K29" si="0">I17+J17</f>
        <v>4</v>
      </c>
      <c r="L17" s="137">
        <v>1</v>
      </c>
      <c r="M17" s="26"/>
      <c r="N17" s="97">
        <f t="shared" ref="N17:N29" si="1">L17+M17</f>
        <v>1</v>
      </c>
      <c r="O17" s="132" t="s">
        <v>79</v>
      </c>
    </row>
    <row r="18" spans="1:15" ht="25.5">
      <c r="A18" s="257"/>
      <c r="B18" s="255"/>
      <c r="C18" s="256"/>
      <c r="D18" s="112" t="s">
        <v>24</v>
      </c>
      <c r="E18" s="269"/>
      <c r="F18" s="272"/>
      <c r="G18" s="275"/>
      <c r="H18" s="278"/>
      <c r="I18" s="102">
        <v>1</v>
      </c>
      <c r="J18" s="25">
        <v>6</v>
      </c>
      <c r="K18" s="143">
        <f t="shared" si="0"/>
        <v>7</v>
      </c>
      <c r="L18" s="137">
        <v>1</v>
      </c>
      <c r="M18" s="26"/>
      <c r="N18" s="97">
        <f t="shared" si="1"/>
        <v>1</v>
      </c>
      <c r="O18" s="132" t="s">
        <v>80</v>
      </c>
    </row>
    <row r="19" spans="1:15" s="95" customFormat="1">
      <c r="A19" s="258" t="s">
        <v>14</v>
      </c>
      <c r="B19" s="259"/>
      <c r="C19" s="259"/>
      <c r="D19" s="260"/>
      <c r="E19" s="98">
        <f>E16</f>
        <v>1</v>
      </c>
      <c r="F19" s="100">
        <f>SUM(F16:F18)</f>
        <v>16</v>
      </c>
      <c r="G19" s="94">
        <f t="shared" ref="G19:K19" si="2">SUM(G16:G18)</f>
        <v>55</v>
      </c>
      <c r="H19" s="135">
        <f t="shared" si="2"/>
        <v>71</v>
      </c>
      <c r="I19" s="100">
        <f t="shared" si="2"/>
        <v>17</v>
      </c>
      <c r="J19" s="94">
        <f t="shared" si="2"/>
        <v>59</v>
      </c>
      <c r="K19" s="99">
        <f t="shared" si="2"/>
        <v>76</v>
      </c>
      <c r="L19" s="100">
        <f>SUM(L16:L18)</f>
        <v>3</v>
      </c>
      <c r="M19" s="94">
        <f t="shared" ref="M19:N19" si="3">SUM(M16:M18)</f>
        <v>0</v>
      </c>
      <c r="N19" s="99">
        <f t="shared" si="3"/>
        <v>3</v>
      </c>
      <c r="O19" s="101"/>
    </row>
    <row r="20" spans="1:15" ht="63.75">
      <c r="A20" s="96" t="s">
        <v>76</v>
      </c>
      <c r="B20" s="15">
        <v>46087</v>
      </c>
      <c r="C20" s="24" t="s">
        <v>106</v>
      </c>
      <c r="D20" s="112" t="s">
        <v>1</v>
      </c>
      <c r="E20" s="111">
        <v>1</v>
      </c>
      <c r="F20" s="103">
        <v>12</v>
      </c>
      <c r="G20" s="69">
        <v>11</v>
      </c>
      <c r="H20" s="152">
        <f t="shared" ref="H20:H28" si="4">F20+G20</f>
        <v>23</v>
      </c>
      <c r="I20" s="102">
        <v>12</v>
      </c>
      <c r="J20" s="25">
        <v>11</v>
      </c>
      <c r="K20" s="143">
        <f t="shared" si="0"/>
        <v>23</v>
      </c>
      <c r="L20" s="137">
        <v>1</v>
      </c>
      <c r="M20" s="26"/>
      <c r="N20" s="97">
        <f>SUM(L20:M20)</f>
        <v>1</v>
      </c>
      <c r="O20" s="132" t="s">
        <v>123</v>
      </c>
    </row>
    <row r="21" spans="1:15" s="95" customFormat="1">
      <c r="A21" s="258" t="s">
        <v>14</v>
      </c>
      <c r="B21" s="259"/>
      <c r="C21" s="259"/>
      <c r="D21" s="260"/>
      <c r="E21" s="98">
        <f t="shared" ref="E21:N21" si="5">E20</f>
        <v>1</v>
      </c>
      <c r="F21" s="100">
        <f t="shared" si="5"/>
        <v>12</v>
      </c>
      <c r="G21" s="94">
        <f t="shared" si="5"/>
        <v>11</v>
      </c>
      <c r="H21" s="135">
        <f t="shared" si="5"/>
        <v>23</v>
      </c>
      <c r="I21" s="100">
        <f t="shared" si="5"/>
        <v>12</v>
      </c>
      <c r="J21" s="94">
        <f t="shared" si="5"/>
        <v>11</v>
      </c>
      <c r="K21" s="99">
        <f t="shared" si="5"/>
        <v>23</v>
      </c>
      <c r="L21" s="100">
        <f t="shared" si="5"/>
        <v>1</v>
      </c>
      <c r="M21" s="94">
        <f t="shared" si="5"/>
        <v>0</v>
      </c>
      <c r="N21" s="99">
        <f t="shared" si="5"/>
        <v>1</v>
      </c>
      <c r="O21" s="101"/>
    </row>
    <row r="22" spans="1:15" ht="25.5">
      <c r="A22" s="96" t="s">
        <v>117</v>
      </c>
      <c r="B22" s="15">
        <v>46092</v>
      </c>
      <c r="C22" s="24" t="s">
        <v>118</v>
      </c>
      <c r="D22" s="112" t="s">
        <v>119</v>
      </c>
      <c r="E22" s="111">
        <v>1</v>
      </c>
      <c r="F22" s="103">
        <v>23</v>
      </c>
      <c r="G22" s="69">
        <v>59</v>
      </c>
      <c r="H22" s="152">
        <f t="shared" si="4"/>
        <v>82</v>
      </c>
      <c r="I22" s="102">
        <v>23</v>
      </c>
      <c r="J22" s="25">
        <v>59</v>
      </c>
      <c r="K22" s="143">
        <f t="shared" si="0"/>
        <v>82</v>
      </c>
      <c r="L22" s="137">
        <v>1</v>
      </c>
      <c r="M22" s="26"/>
      <c r="N22" s="97">
        <f>SUM(L22:M22)</f>
        <v>1</v>
      </c>
      <c r="O22" s="132" t="s">
        <v>124</v>
      </c>
    </row>
    <row r="23" spans="1:15" s="95" customFormat="1">
      <c r="A23" s="258" t="s">
        <v>14</v>
      </c>
      <c r="B23" s="259"/>
      <c r="C23" s="259"/>
      <c r="D23" s="260"/>
      <c r="E23" s="98">
        <f t="shared" ref="E23:N23" si="6">E22</f>
        <v>1</v>
      </c>
      <c r="F23" s="100">
        <f t="shared" si="6"/>
        <v>23</v>
      </c>
      <c r="G23" s="94">
        <f t="shared" si="6"/>
        <v>59</v>
      </c>
      <c r="H23" s="135">
        <f t="shared" si="6"/>
        <v>82</v>
      </c>
      <c r="I23" s="100">
        <f t="shared" si="6"/>
        <v>23</v>
      </c>
      <c r="J23" s="94">
        <f t="shared" si="6"/>
        <v>59</v>
      </c>
      <c r="K23" s="99">
        <f t="shared" si="6"/>
        <v>82</v>
      </c>
      <c r="L23" s="100">
        <f t="shared" si="6"/>
        <v>1</v>
      </c>
      <c r="M23" s="94">
        <f t="shared" si="6"/>
        <v>0</v>
      </c>
      <c r="N23" s="99">
        <f t="shared" si="6"/>
        <v>1</v>
      </c>
      <c r="O23" s="101"/>
    </row>
    <row r="24" spans="1:15" ht="25.5">
      <c r="A24" s="257" t="s">
        <v>21</v>
      </c>
      <c r="B24" s="255">
        <v>46093</v>
      </c>
      <c r="C24" s="263" t="s">
        <v>84</v>
      </c>
      <c r="D24" s="113" t="s">
        <v>139</v>
      </c>
      <c r="E24" s="264">
        <v>1</v>
      </c>
      <c r="F24" s="270">
        <v>181</v>
      </c>
      <c r="G24" s="273">
        <v>166</v>
      </c>
      <c r="H24" s="276">
        <f t="shared" si="4"/>
        <v>347</v>
      </c>
      <c r="I24" s="102">
        <v>45</v>
      </c>
      <c r="J24" s="25">
        <v>77</v>
      </c>
      <c r="K24" s="143">
        <f t="shared" si="0"/>
        <v>122</v>
      </c>
      <c r="L24" s="137">
        <v>1</v>
      </c>
      <c r="M24" s="26"/>
      <c r="N24" s="97">
        <f>L24+M24</f>
        <v>1</v>
      </c>
      <c r="O24" s="132" t="s">
        <v>136</v>
      </c>
    </row>
    <row r="25" spans="1:15" ht="25.5">
      <c r="A25" s="257"/>
      <c r="B25" s="255"/>
      <c r="C25" s="263"/>
      <c r="D25" s="113" t="s">
        <v>1</v>
      </c>
      <c r="E25" s="279"/>
      <c r="F25" s="271"/>
      <c r="G25" s="274"/>
      <c r="H25" s="277"/>
      <c r="I25" s="102">
        <v>32</v>
      </c>
      <c r="J25" s="25">
        <v>79</v>
      </c>
      <c r="K25" s="143">
        <f t="shared" si="0"/>
        <v>111</v>
      </c>
      <c r="L25" s="137">
        <v>1</v>
      </c>
      <c r="M25" s="26"/>
      <c r="N25" s="97">
        <f t="shared" ref="N25:N26" si="7">L25+M25</f>
        <v>1</v>
      </c>
      <c r="O25" s="132" t="s">
        <v>137</v>
      </c>
    </row>
    <row r="26" spans="1:15" ht="25.5">
      <c r="A26" s="257"/>
      <c r="B26" s="255"/>
      <c r="C26" s="263"/>
      <c r="D26" s="113" t="s">
        <v>140</v>
      </c>
      <c r="E26" s="265"/>
      <c r="F26" s="272"/>
      <c r="G26" s="275"/>
      <c r="H26" s="278"/>
      <c r="I26" s="102">
        <v>96</v>
      </c>
      <c r="J26" s="25">
        <v>95</v>
      </c>
      <c r="K26" s="143">
        <f t="shared" si="0"/>
        <v>191</v>
      </c>
      <c r="L26" s="137">
        <v>1</v>
      </c>
      <c r="M26" s="26"/>
      <c r="N26" s="97">
        <f t="shared" si="7"/>
        <v>1</v>
      </c>
      <c r="O26" s="132" t="s">
        <v>138</v>
      </c>
    </row>
    <row r="27" spans="1:15" s="95" customFormat="1">
      <c r="A27" s="261" t="s">
        <v>14</v>
      </c>
      <c r="B27" s="262"/>
      <c r="C27" s="262"/>
      <c r="D27" s="262"/>
      <c r="E27" s="94">
        <f t="shared" ref="E27:H27" si="8">E24</f>
        <v>1</v>
      </c>
      <c r="F27" s="94">
        <f t="shared" si="8"/>
        <v>181</v>
      </c>
      <c r="G27" s="94">
        <f t="shared" si="8"/>
        <v>166</v>
      </c>
      <c r="H27" s="135">
        <f t="shared" si="8"/>
        <v>347</v>
      </c>
      <c r="I27" s="100">
        <f>SUM(I24:I26)</f>
        <v>173</v>
      </c>
      <c r="J27" s="94">
        <f t="shared" ref="J27:N27" si="9">SUM(J24:J26)</f>
        <v>251</v>
      </c>
      <c r="K27" s="99">
        <f t="shared" si="9"/>
        <v>424</v>
      </c>
      <c r="L27" s="100">
        <f t="shared" si="9"/>
        <v>3</v>
      </c>
      <c r="M27" s="94">
        <f t="shared" si="9"/>
        <v>0</v>
      </c>
      <c r="N27" s="99">
        <f t="shared" si="9"/>
        <v>3</v>
      </c>
      <c r="O27" s="101"/>
    </row>
    <row r="28" spans="1:15">
      <c r="A28" s="257" t="s">
        <v>89</v>
      </c>
      <c r="B28" s="255" t="s">
        <v>125</v>
      </c>
      <c r="C28" s="256" t="s">
        <v>122</v>
      </c>
      <c r="D28" s="112" t="s">
        <v>22</v>
      </c>
      <c r="E28" s="264">
        <v>1</v>
      </c>
      <c r="F28" s="270">
        <v>5</v>
      </c>
      <c r="G28" s="273">
        <v>1</v>
      </c>
      <c r="H28" s="276">
        <f t="shared" si="4"/>
        <v>6</v>
      </c>
      <c r="I28" s="102">
        <v>5</v>
      </c>
      <c r="J28" s="25">
        <v>1</v>
      </c>
      <c r="K28" s="143">
        <f t="shared" si="0"/>
        <v>6</v>
      </c>
      <c r="L28" s="137">
        <v>1</v>
      </c>
      <c r="M28" s="26"/>
      <c r="N28" s="97">
        <f t="shared" si="1"/>
        <v>1</v>
      </c>
      <c r="O28" s="132" t="s">
        <v>142</v>
      </c>
    </row>
    <row r="29" spans="1:15" ht="25.5">
      <c r="A29" s="257"/>
      <c r="B29" s="255"/>
      <c r="C29" s="256"/>
      <c r="D29" s="112" t="s">
        <v>24</v>
      </c>
      <c r="E29" s="265"/>
      <c r="F29" s="272"/>
      <c r="G29" s="275"/>
      <c r="H29" s="278"/>
      <c r="I29" s="102"/>
      <c r="J29" s="25"/>
      <c r="K29" s="143">
        <f t="shared" si="0"/>
        <v>0</v>
      </c>
      <c r="L29" s="137">
        <v>1</v>
      </c>
      <c r="M29" s="26"/>
      <c r="N29" s="97">
        <f t="shared" si="1"/>
        <v>1</v>
      </c>
      <c r="O29" s="132" t="s">
        <v>141</v>
      </c>
    </row>
    <row r="30" spans="1:15" s="95" customFormat="1">
      <c r="A30" s="261" t="s">
        <v>14</v>
      </c>
      <c r="B30" s="262"/>
      <c r="C30" s="262"/>
      <c r="D30" s="266"/>
      <c r="E30" s="98">
        <f>E28</f>
        <v>1</v>
      </c>
      <c r="F30" s="100">
        <f t="shared" ref="F30:N30" si="10">SUM(F28:F29)</f>
        <v>5</v>
      </c>
      <c r="G30" s="101">
        <f t="shared" si="10"/>
        <v>1</v>
      </c>
      <c r="H30" s="135">
        <f t="shared" si="10"/>
        <v>6</v>
      </c>
      <c r="I30" s="100">
        <f t="shared" si="10"/>
        <v>5</v>
      </c>
      <c r="J30" s="101">
        <f t="shared" si="10"/>
        <v>1</v>
      </c>
      <c r="K30" s="109">
        <f t="shared" si="10"/>
        <v>6</v>
      </c>
      <c r="L30" s="100">
        <f t="shared" si="10"/>
        <v>2</v>
      </c>
      <c r="M30" s="101">
        <f t="shared" si="10"/>
        <v>0</v>
      </c>
      <c r="N30" s="109">
        <f t="shared" si="10"/>
        <v>2</v>
      </c>
      <c r="O30" s="101"/>
    </row>
    <row r="31" spans="1:15" ht="25.5">
      <c r="A31" s="257" t="s">
        <v>149</v>
      </c>
      <c r="B31" s="255">
        <v>46108</v>
      </c>
      <c r="C31" s="256" t="s">
        <v>147</v>
      </c>
      <c r="D31" s="113" t="s">
        <v>1</v>
      </c>
      <c r="E31" s="264">
        <v>1</v>
      </c>
      <c r="F31" s="270">
        <v>15</v>
      </c>
      <c r="G31" s="273">
        <v>4</v>
      </c>
      <c r="H31" s="276">
        <f t="shared" ref="H31" si="11">F31+G31</f>
        <v>19</v>
      </c>
      <c r="I31" s="102">
        <v>16</v>
      </c>
      <c r="J31" s="25">
        <v>5</v>
      </c>
      <c r="K31" s="143">
        <f t="shared" ref="K31:K32" si="12">I31+J31</f>
        <v>21</v>
      </c>
      <c r="L31" s="137">
        <v>1</v>
      </c>
      <c r="M31" s="26"/>
      <c r="N31" s="97">
        <f t="shared" ref="N31:N32" si="13">L31+M31</f>
        <v>1</v>
      </c>
      <c r="O31" s="132" t="s">
        <v>151</v>
      </c>
    </row>
    <row r="32" spans="1:15" ht="25.5">
      <c r="A32" s="257"/>
      <c r="B32" s="255"/>
      <c r="C32" s="256"/>
      <c r="D32" s="113" t="s">
        <v>139</v>
      </c>
      <c r="E32" s="265"/>
      <c r="F32" s="272"/>
      <c r="G32" s="275"/>
      <c r="H32" s="278"/>
      <c r="I32" s="102">
        <v>1</v>
      </c>
      <c r="J32" s="25">
        <v>1</v>
      </c>
      <c r="K32" s="143">
        <f t="shared" si="12"/>
        <v>2</v>
      </c>
      <c r="L32" s="137">
        <v>1</v>
      </c>
      <c r="M32" s="26"/>
      <c r="N32" s="97">
        <f t="shared" si="13"/>
        <v>1</v>
      </c>
      <c r="O32" s="132" t="s">
        <v>150</v>
      </c>
    </row>
    <row r="33" spans="1:15" s="95" customFormat="1">
      <c r="A33" s="261" t="s">
        <v>14</v>
      </c>
      <c r="B33" s="262"/>
      <c r="C33" s="262"/>
      <c r="D33" s="266"/>
      <c r="E33" s="98">
        <f>E31</f>
        <v>1</v>
      </c>
      <c r="F33" s="100">
        <f t="shared" ref="F33" si="14">SUM(F31:F32)</f>
        <v>15</v>
      </c>
      <c r="G33" s="94">
        <f t="shared" ref="G33" si="15">SUM(G31:G32)</f>
        <v>4</v>
      </c>
      <c r="H33" s="135">
        <f t="shared" ref="H33" si="16">SUM(H31:H32)</f>
        <v>19</v>
      </c>
      <c r="I33" s="100">
        <f t="shared" ref="I33" si="17">SUM(I31:I32)</f>
        <v>17</v>
      </c>
      <c r="J33" s="101">
        <f t="shared" ref="J33" si="18">SUM(J31:J32)</f>
        <v>6</v>
      </c>
      <c r="K33" s="109">
        <f t="shared" ref="K33" si="19">SUM(K31:K32)</f>
        <v>23</v>
      </c>
      <c r="L33" s="100">
        <f t="shared" ref="L33" si="20">SUM(L31:L32)</f>
        <v>2</v>
      </c>
      <c r="M33" s="101">
        <f t="shared" ref="M33" si="21">SUM(M31:M32)</f>
        <v>0</v>
      </c>
      <c r="N33" s="109">
        <f t="shared" ref="N33" si="22">SUM(N31:N32)</f>
        <v>2</v>
      </c>
      <c r="O33" s="101"/>
    </row>
    <row r="34" spans="1:15" s="108" customFormat="1" ht="13.5" thickBot="1">
      <c r="A34" s="252" t="s">
        <v>13</v>
      </c>
      <c r="B34" s="253"/>
      <c r="C34" s="253"/>
      <c r="D34" s="254"/>
      <c r="E34" s="110">
        <f>E19+E21+E23+E27+E30+E33</f>
        <v>6</v>
      </c>
      <c r="F34" s="105">
        <f t="shared" ref="F34:N34" si="23">F19+F21+F23+F27+F30+F33</f>
        <v>252</v>
      </c>
      <c r="G34" s="106">
        <f t="shared" si="23"/>
        <v>296</v>
      </c>
      <c r="H34" s="136">
        <f t="shared" si="23"/>
        <v>548</v>
      </c>
      <c r="I34" s="105">
        <f t="shared" si="23"/>
        <v>247</v>
      </c>
      <c r="J34" s="106">
        <f t="shared" si="23"/>
        <v>387</v>
      </c>
      <c r="K34" s="107">
        <f t="shared" si="23"/>
        <v>634</v>
      </c>
      <c r="L34" s="105">
        <f t="shared" si="23"/>
        <v>12</v>
      </c>
      <c r="M34" s="106">
        <f t="shared" si="23"/>
        <v>0</v>
      </c>
      <c r="N34" s="107">
        <f t="shared" si="23"/>
        <v>12</v>
      </c>
      <c r="O34" s="133"/>
    </row>
    <row r="36" spans="1:15">
      <c r="A36" s="27" t="s">
        <v>15</v>
      </c>
      <c r="C36" s="28"/>
      <c r="D36" s="138" t="s">
        <v>51</v>
      </c>
      <c r="F36" s="36"/>
    </row>
    <row r="37" spans="1:15">
      <c r="A37" s="27"/>
      <c r="C37" s="28"/>
      <c r="D37" s="138"/>
      <c r="F37" s="29"/>
    </row>
    <row r="38" spans="1:15">
      <c r="A38" s="27"/>
      <c r="C38" s="28"/>
      <c r="D38" s="138"/>
      <c r="F38" s="29"/>
    </row>
    <row r="39" spans="1:15">
      <c r="A39" s="27"/>
      <c r="C39" s="28"/>
      <c r="D39" s="138"/>
      <c r="F39" s="29"/>
    </row>
    <row r="40" spans="1:15" s="34" customFormat="1">
      <c r="A40" s="30" t="s">
        <v>16</v>
      </c>
      <c r="B40" s="31"/>
      <c r="C40" s="32"/>
      <c r="D40" s="139" t="s">
        <v>42</v>
      </c>
      <c r="G40" s="33"/>
      <c r="H40" s="33"/>
      <c r="I40" s="33"/>
      <c r="J40" s="33"/>
      <c r="K40" s="33"/>
      <c r="L40" s="33"/>
      <c r="M40" s="33"/>
      <c r="N40" s="33"/>
      <c r="O40" s="35"/>
    </row>
    <row r="41" spans="1:15" s="19" customFormat="1">
      <c r="A41" s="16" t="s">
        <v>17</v>
      </c>
      <c r="B41" s="17"/>
      <c r="C41" s="18"/>
      <c r="D41" s="140" t="s">
        <v>43</v>
      </c>
      <c r="G41" s="17"/>
      <c r="H41" s="17"/>
      <c r="I41" s="17"/>
      <c r="J41" s="17"/>
      <c r="K41" s="17"/>
      <c r="L41" s="17"/>
      <c r="M41" s="17"/>
      <c r="N41" s="17"/>
      <c r="O41" s="20"/>
    </row>
    <row r="42" spans="1:15">
      <c r="C42" s="18"/>
      <c r="D42" s="140" t="s">
        <v>52</v>
      </c>
    </row>
  </sheetData>
  <mergeCells count="46">
    <mergeCell ref="F31:F32"/>
    <mergeCell ref="F28:F29"/>
    <mergeCell ref="G28:G29"/>
    <mergeCell ref="H28:H29"/>
    <mergeCell ref="G31:G32"/>
    <mergeCell ref="H31:H32"/>
    <mergeCell ref="E31:E32"/>
    <mergeCell ref="A33:D33"/>
    <mergeCell ref="O14:O15"/>
    <mergeCell ref="C28:C29"/>
    <mergeCell ref="B28:B29"/>
    <mergeCell ref="A28:A29"/>
    <mergeCell ref="E28:E29"/>
    <mergeCell ref="E16:E18"/>
    <mergeCell ref="F16:F18"/>
    <mergeCell ref="G16:G18"/>
    <mergeCell ref="H16:H18"/>
    <mergeCell ref="F24:F26"/>
    <mergeCell ref="E24:E26"/>
    <mergeCell ref="G24:G26"/>
    <mergeCell ref="H24:H26"/>
    <mergeCell ref="A30:D30"/>
    <mergeCell ref="A34:D34"/>
    <mergeCell ref="B16:B18"/>
    <mergeCell ref="C16:C18"/>
    <mergeCell ref="A16:A18"/>
    <mergeCell ref="A19:D19"/>
    <mergeCell ref="A21:D21"/>
    <mergeCell ref="A23:D23"/>
    <mergeCell ref="A27:D27"/>
    <mergeCell ref="A24:A26"/>
    <mergeCell ref="B24:B26"/>
    <mergeCell ref="C24:C26"/>
    <mergeCell ref="A31:A32"/>
    <mergeCell ref="B31:B32"/>
    <mergeCell ref="C31:C32"/>
    <mergeCell ref="A10:N10"/>
    <mergeCell ref="A11:N11"/>
    <mergeCell ref="A14:A15"/>
    <mergeCell ref="B14:B15"/>
    <mergeCell ref="C14:C15"/>
    <mergeCell ref="D14:D15"/>
    <mergeCell ref="E14:E15"/>
    <mergeCell ref="F14:H14"/>
    <mergeCell ref="I14:K14"/>
    <mergeCell ref="L14:N14"/>
  </mergeCells>
  <phoneticPr fontId="21" type="noConversion"/>
  <pageMargins left="0.7" right="0.7" top="0.75" bottom="0.75" header="0.3" footer="0.3"/>
  <pageSetup paperSize="9"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266E-4DEE-442B-8DA9-71A1DEAE8C9A}">
  <sheetPr>
    <pageSetUpPr fitToPage="1"/>
  </sheetPr>
  <dimension ref="A10:O40"/>
  <sheetViews>
    <sheetView topLeftCell="A10" workbookViewId="0">
      <selection activeCell="J17" sqref="J17"/>
    </sheetView>
  </sheetViews>
  <sheetFormatPr defaultColWidth="8.85546875" defaultRowHeight="12.75"/>
  <cols>
    <col min="1" max="1" width="22.42578125" style="20" customWidth="1"/>
    <col min="2" max="2" width="17.5703125" style="20" customWidth="1"/>
    <col min="3" max="3" width="29.140625" style="13" customWidth="1"/>
    <col min="4" max="4" width="29.28515625" style="13" customWidth="1"/>
    <col min="5" max="5" width="13.5703125" style="29" customWidth="1"/>
    <col min="6" max="6" width="9" style="13" customWidth="1"/>
    <col min="7" max="7" width="8.42578125" style="13" customWidth="1"/>
    <col min="8" max="9" width="9.7109375" style="13" customWidth="1"/>
    <col min="10" max="10" width="9.5703125" style="13" customWidth="1"/>
    <col min="11" max="11" width="9.42578125" style="13" customWidth="1"/>
    <col min="12" max="12" width="15.140625" style="13" customWidth="1"/>
    <col min="13" max="13" width="12.28515625" style="13" customWidth="1"/>
    <col min="14" max="14" width="11.28515625" style="13" customWidth="1"/>
    <col min="15" max="15" width="18.7109375" style="20" customWidth="1"/>
    <col min="16" max="16384" width="8.85546875" style="14"/>
  </cols>
  <sheetData>
    <row r="10" spans="1:15">
      <c r="A10" s="233" t="s">
        <v>19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</row>
    <row r="11" spans="1:15">
      <c r="A11" s="234" t="s">
        <v>67</v>
      </c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</row>
    <row r="12" spans="1:15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5" ht="13.5" thickBot="1"/>
    <row r="14" spans="1:15" ht="51.75" customHeight="1">
      <c r="A14" s="235" t="s">
        <v>20</v>
      </c>
      <c r="B14" s="237" t="s">
        <v>11</v>
      </c>
      <c r="C14" s="237" t="s">
        <v>12</v>
      </c>
      <c r="D14" s="299" t="s">
        <v>54</v>
      </c>
      <c r="E14" s="209" t="s">
        <v>4</v>
      </c>
      <c r="F14" s="243" t="s">
        <v>5</v>
      </c>
      <c r="G14" s="244"/>
      <c r="H14" s="301"/>
      <c r="I14" s="246" t="s">
        <v>50</v>
      </c>
      <c r="J14" s="247"/>
      <c r="K14" s="248"/>
      <c r="L14" s="249" t="s">
        <v>7</v>
      </c>
      <c r="M14" s="250"/>
      <c r="N14" s="251"/>
      <c r="O14" s="267" t="s">
        <v>59</v>
      </c>
    </row>
    <row r="15" spans="1:15" ht="51">
      <c r="A15" s="236"/>
      <c r="B15" s="238"/>
      <c r="C15" s="238"/>
      <c r="D15" s="300"/>
      <c r="E15" s="210"/>
      <c r="F15" s="72" t="s">
        <v>6</v>
      </c>
      <c r="G15" s="21" t="s">
        <v>3</v>
      </c>
      <c r="H15" s="73" t="s">
        <v>10</v>
      </c>
      <c r="I15" s="81" t="s">
        <v>6</v>
      </c>
      <c r="J15" s="22" t="s">
        <v>3</v>
      </c>
      <c r="K15" s="82" t="s">
        <v>10</v>
      </c>
      <c r="L15" s="85" t="s">
        <v>8</v>
      </c>
      <c r="M15" s="23" t="s">
        <v>9</v>
      </c>
      <c r="N15" s="86" t="s">
        <v>10</v>
      </c>
      <c r="O15" s="268"/>
    </row>
    <row r="16" spans="1:15" ht="63.75">
      <c r="A16" s="96" t="s">
        <v>174</v>
      </c>
      <c r="B16" s="15">
        <v>46118</v>
      </c>
      <c r="C16" s="24" t="s">
        <v>175</v>
      </c>
      <c r="D16" s="141" t="s">
        <v>139</v>
      </c>
      <c r="E16" s="148">
        <v>1</v>
      </c>
      <c r="F16" s="123"/>
      <c r="G16" s="124">
        <v>1</v>
      </c>
      <c r="H16" s="125">
        <f>F16+G16</f>
        <v>1</v>
      </c>
      <c r="I16" s="102"/>
      <c r="J16" s="25">
        <v>1</v>
      </c>
      <c r="K16" s="143">
        <f>I16+J16</f>
        <v>1</v>
      </c>
      <c r="L16" s="137">
        <v>1</v>
      </c>
      <c r="M16" s="26"/>
      <c r="N16" s="97">
        <f>L16+M16</f>
        <v>1</v>
      </c>
      <c r="O16" s="132" t="s">
        <v>176</v>
      </c>
    </row>
    <row r="17" spans="1:15" s="95" customFormat="1">
      <c r="A17" s="258" t="s">
        <v>14</v>
      </c>
      <c r="B17" s="259"/>
      <c r="C17" s="259"/>
      <c r="D17" s="259"/>
      <c r="E17" s="134">
        <f>E16</f>
        <v>1</v>
      </c>
      <c r="F17" s="100">
        <f t="shared" ref="F17:N17" si="0">SUM(F16:F16)</f>
        <v>0</v>
      </c>
      <c r="G17" s="94">
        <f t="shared" si="0"/>
        <v>1</v>
      </c>
      <c r="H17" s="99">
        <f t="shared" si="0"/>
        <v>1</v>
      </c>
      <c r="I17" s="100">
        <f t="shared" si="0"/>
        <v>0</v>
      </c>
      <c r="J17" s="94">
        <f t="shared" si="0"/>
        <v>1</v>
      </c>
      <c r="K17" s="99">
        <f t="shared" si="0"/>
        <v>1</v>
      </c>
      <c r="L17" s="100">
        <f t="shared" si="0"/>
        <v>1</v>
      </c>
      <c r="M17" s="94">
        <f t="shared" si="0"/>
        <v>0</v>
      </c>
      <c r="N17" s="99">
        <f t="shared" si="0"/>
        <v>1</v>
      </c>
      <c r="O17" s="101"/>
    </row>
    <row r="18" spans="1:15" ht="25.5">
      <c r="A18" s="283" t="s">
        <v>174</v>
      </c>
      <c r="B18" s="286">
        <v>46121</v>
      </c>
      <c r="C18" s="289" t="s">
        <v>133</v>
      </c>
      <c r="D18" s="142" t="s">
        <v>139</v>
      </c>
      <c r="E18" s="292">
        <v>1</v>
      </c>
      <c r="F18" s="103"/>
      <c r="G18" s="69"/>
      <c r="H18" s="104">
        <f t="shared" ref="H18:H29" si="1">F18+G18</f>
        <v>0</v>
      </c>
      <c r="I18" s="102"/>
      <c r="J18" s="25"/>
      <c r="K18" s="143">
        <f t="shared" ref="K18:K30" si="2">I18+J18</f>
        <v>0</v>
      </c>
      <c r="L18" s="137">
        <v>1</v>
      </c>
      <c r="M18" s="26"/>
      <c r="N18" s="97">
        <f>SUM(L18:M18)</f>
        <v>1</v>
      </c>
      <c r="O18" s="132" t="s">
        <v>177</v>
      </c>
    </row>
    <row r="19" spans="1:15" ht="25.5">
      <c r="A19" s="284"/>
      <c r="B19" s="287"/>
      <c r="C19" s="290"/>
      <c r="D19" s="142" t="s">
        <v>178</v>
      </c>
      <c r="E19" s="293"/>
      <c r="F19" s="103"/>
      <c r="G19" s="69"/>
      <c r="H19" s="104">
        <f t="shared" si="1"/>
        <v>0</v>
      </c>
      <c r="I19" s="102"/>
      <c r="J19" s="25"/>
      <c r="K19" s="143">
        <f t="shared" si="2"/>
        <v>0</v>
      </c>
      <c r="L19" s="137">
        <v>1</v>
      </c>
      <c r="M19" s="26"/>
      <c r="N19" s="97">
        <f t="shared" ref="N19:N20" si="3">SUM(L19:M19)</f>
        <v>1</v>
      </c>
      <c r="O19" s="150" t="s">
        <v>179</v>
      </c>
    </row>
    <row r="20" spans="1:15" ht="25.5">
      <c r="A20" s="285"/>
      <c r="B20" s="288"/>
      <c r="C20" s="291"/>
      <c r="D20" s="142" t="s">
        <v>140</v>
      </c>
      <c r="E20" s="294"/>
      <c r="F20" s="103"/>
      <c r="G20" s="69"/>
      <c r="H20" s="104">
        <f t="shared" si="1"/>
        <v>0</v>
      </c>
      <c r="I20" s="102"/>
      <c r="J20" s="25"/>
      <c r="K20" s="143">
        <f t="shared" si="2"/>
        <v>0</v>
      </c>
      <c r="L20" s="137">
        <v>1</v>
      </c>
      <c r="M20" s="26"/>
      <c r="N20" s="97">
        <f t="shared" si="3"/>
        <v>1</v>
      </c>
      <c r="O20" s="150" t="s">
        <v>180</v>
      </c>
    </row>
    <row r="21" spans="1:15" s="95" customFormat="1">
      <c r="A21" s="258" t="s">
        <v>14</v>
      </c>
      <c r="B21" s="259"/>
      <c r="C21" s="259"/>
      <c r="D21" s="259"/>
      <c r="E21" s="134">
        <f>SUM(E18:E20)</f>
        <v>1</v>
      </c>
      <c r="F21" s="100">
        <f>SUM(F18:F20)</f>
        <v>0</v>
      </c>
      <c r="G21" s="94">
        <f t="shared" ref="G21:N21" si="4">SUM(G18:G20)</f>
        <v>0</v>
      </c>
      <c r="H21" s="99">
        <f t="shared" si="4"/>
        <v>0</v>
      </c>
      <c r="I21" s="100">
        <f t="shared" si="4"/>
        <v>0</v>
      </c>
      <c r="J21" s="94">
        <f t="shared" si="4"/>
        <v>0</v>
      </c>
      <c r="K21" s="99">
        <f t="shared" si="4"/>
        <v>0</v>
      </c>
      <c r="L21" s="100">
        <f t="shared" si="4"/>
        <v>3</v>
      </c>
      <c r="M21" s="94">
        <f t="shared" si="4"/>
        <v>0</v>
      </c>
      <c r="N21" s="99">
        <f t="shared" si="4"/>
        <v>3</v>
      </c>
      <c r="O21" s="101"/>
    </row>
    <row r="22" spans="1:15" ht="25.5">
      <c r="A22" s="289" t="s">
        <v>156</v>
      </c>
      <c r="B22" s="286">
        <v>46125</v>
      </c>
      <c r="C22" s="289" t="s">
        <v>157</v>
      </c>
      <c r="D22" s="142" t="s">
        <v>140</v>
      </c>
      <c r="E22" s="292">
        <v>1</v>
      </c>
      <c r="F22" s="103"/>
      <c r="G22" s="69"/>
      <c r="H22" s="104">
        <f t="shared" si="1"/>
        <v>0</v>
      </c>
      <c r="I22" s="102"/>
      <c r="J22" s="25"/>
      <c r="K22" s="143">
        <f t="shared" si="2"/>
        <v>0</v>
      </c>
      <c r="L22" s="137"/>
      <c r="M22" s="26"/>
      <c r="N22" s="97">
        <f>SUM(L22:M22)</f>
        <v>0</v>
      </c>
      <c r="O22" s="132" t="s">
        <v>181</v>
      </c>
    </row>
    <row r="23" spans="1:15" ht="25.5">
      <c r="A23" s="291"/>
      <c r="B23" s="288"/>
      <c r="C23" s="291"/>
      <c r="D23" s="142" t="s">
        <v>139</v>
      </c>
      <c r="E23" s="294"/>
      <c r="F23" s="103"/>
      <c r="G23" s="69"/>
      <c r="H23" s="104">
        <f t="shared" si="1"/>
        <v>0</v>
      </c>
      <c r="I23" s="102"/>
      <c r="J23" s="25"/>
      <c r="K23" s="143">
        <f t="shared" si="2"/>
        <v>0</v>
      </c>
      <c r="L23" s="137"/>
      <c r="M23" s="26"/>
      <c r="N23" s="97">
        <f>SUM(L23:M23)</f>
        <v>0</v>
      </c>
      <c r="O23" s="132" t="s">
        <v>182</v>
      </c>
    </row>
    <row r="24" spans="1:15" s="95" customFormat="1">
      <c r="A24" s="258" t="s">
        <v>14</v>
      </c>
      <c r="B24" s="259"/>
      <c r="C24" s="259"/>
      <c r="D24" s="259"/>
      <c r="E24" s="134">
        <f t="shared" ref="E24" si="5">E22</f>
        <v>1</v>
      </c>
      <c r="F24" s="100">
        <f>SUM(F22:F23)</f>
        <v>0</v>
      </c>
      <c r="G24" s="94">
        <f t="shared" ref="G24:N24" si="6">SUM(G22:G23)</f>
        <v>0</v>
      </c>
      <c r="H24" s="99">
        <f t="shared" si="6"/>
        <v>0</v>
      </c>
      <c r="I24" s="100">
        <f t="shared" si="6"/>
        <v>0</v>
      </c>
      <c r="J24" s="94">
        <f t="shared" si="6"/>
        <v>0</v>
      </c>
      <c r="K24" s="99">
        <f t="shared" si="6"/>
        <v>0</v>
      </c>
      <c r="L24" s="100">
        <f t="shared" si="6"/>
        <v>0</v>
      </c>
      <c r="M24" s="94">
        <f t="shared" si="6"/>
        <v>0</v>
      </c>
      <c r="N24" s="99">
        <f t="shared" si="6"/>
        <v>0</v>
      </c>
      <c r="O24" s="101"/>
    </row>
    <row r="25" spans="1:15" ht="25.5">
      <c r="A25" s="257" t="s">
        <v>183</v>
      </c>
      <c r="B25" s="255">
        <v>46127</v>
      </c>
      <c r="C25" s="256" t="s">
        <v>158</v>
      </c>
      <c r="D25" s="142" t="s">
        <v>140</v>
      </c>
      <c r="E25" s="292">
        <v>1</v>
      </c>
      <c r="F25" s="270"/>
      <c r="G25" s="273"/>
      <c r="H25" s="295">
        <f t="shared" si="1"/>
        <v>0</v>
      </c>
      <c r="I25" s="102"/>
      <c r="J25" s="25"/>
      <c r="K25" s="143">
        <f t="shared" si="2"/>
        <v>0</v>
      </c>
      <c r="L25" s="137">
        <v>1</v>
      </c>
      <c r="M25" s="26"/>
      <c r="N25" s="97">
        <f>L25+M25</f>
        <v>1</v>
      </c>
      <c r="O25" s="132" t="s">
        <v>185</v>
      </c>
    </row>
    <row r="26" spans="1:15" ht="25.5">
      <c r="A26" s="257"/>
      <c r="B26" s="255"/>
      <c r="C26" s="256"/>
      <c r="D26" s="142" t="s">
        <v>139</v>
      </c>
      <c r="E26" s="293"/>
      <c r="F26" s="271"/>
      <c r="G26" s="274"/>
      <c r="H26" s="298"/>
      <c r="I26" s="102"/>
      <c r="J26" s="25"/>
      <c r="K26" s="143">
        <f t="shared" si="2"/>
        <v>0</v>
      </c>
      <c r="L26" s="137">
        <v>1</v>
      </c>
      <c r="M26" s="26"/>
      <c r="N26" s="97">
        <f t="shared" ref="N26:N27" si="7">L26+M26</f>
        <v>1</v>
      </c>
      <c r="O26" s="132" t="s">
        <v>186</v>
      </c>
    </row>
    <row r="27" spans="1:15">
      <c r="A27" s="257"/>
      <c r="B27" s="255"/>
      <c r="C27" s="256"/>
      <c r="D27" s="141"/>
      <c r="E27" s="294"/>
      <c r="F27" s="272"/>
      <c r="G27" s="275"/>
      <c r="H27" s="296"/>
      <c r="I27" s="102"/>
      <c r="J27" s="25"/>
      <c r="K27" s="143">
        <f t="shared" si="2"/>
        <v>0</v>
      </c>
      <c r="L27" s="137"/>
      <c r="M27" s="26"/>
      <c r="N27" s="97">
        <f t="shared" si="7"/>
        <v>0</v>
      </c>
      <c r="O27" s="132"/>
    </row>
    <row r="28" spans="1:15" s="95" customFormat="1">
      <c r="A28" s="258" t="s">
        <v>14</v>
      </c>
      <c r="B28" s="259"/>
      <c r="C28" s="259"/>
      <c r="D28" s="259"/>
      <c r="E28" s="134">
        <f t="shared" ref="E28:H28" si="8">E25</f>
        <v>1</v>
      </c>
      <c r="F28" s="100">
        <f t="shared" si="8"/>
        <v>0</v>
      </c>
      <c r="G28" s="94">
        <f t="shared" si="8"/>
        <v>0</v>
      </c>
      <c r="H28" s="99">
        <f t="shared" si="8"/>
        <v>0</v>
      </c>
      <c r="I28" s="100">
        <f>SUM(I25:I27)</f>
        <v>0</v>
      </c>
      <c r="J28" s="100">
        <f t="shared" ref="J28:N28" si="9">SUM(J25:J27)</f>
        <v>0</v>
      </c>
      <c r="K28" s="134">
        <f t="shared" si="9"/>
        <v>0</v>
      </c>
      <c r="L28" s="100">
        <f t="shared" si="9"/>
        <v>2</v>
      </c>
      <c r="M28" s="100">
        <f t="shared" si="9"/>
        <v>0</v>
      </c>
      <c r="N28" s="134">
        <f t="shared" si="9"/>
        <v>2</v>
      </c>
      <c r="O28" s="101"/>
    </row>
    <row r="29" spans="1:15" ht="27" customHeight="1">
      <c r="A29" s="257" t="s">
        <v>109</v>
      </c>
      <c r="B29" s="255">
        <v>46135</v>
      </c>
      <c r="C29" s="256" t="s">
        <v>110</v>
      </c>
      <c r="D29" s="142" t="s">
        <v>2</v>
      </c>
      <c r="E29" s="292">
        <v>1</v>
      </c>
      <c r="F29" s="270"/>
      <c r="G29" s="273"/>
      <c r="H29" s="295">
        <f t="shared" si="1"/>
        <v>0</v>
      </c>
      <c r="I29" s="102"/>
      <c r="J29" s="25"/>
      <c r="K29" s="143">
        <f t="shared" si="2"/>
        <v>0</v>
      </c>
      <c r="L29" s="137"/>
      <c r="M29" s="26"/>
      <c r="N29" s="97">
        <f t="shared" ref="N29:N30" si="10">L29+M29</f>
        <v>0</v>
      </c>
      <c r="O29" s="132" t="s">
        <v>187</v>
      </c>
    </row>
    <row r="30" spans="1:15" ht="29.25" customHeight="1">
      <c r="A30" s="257"/>
      <c r="B30" s="255"/>
      <c r="C30" s="256"/>
      <c r="D30" s="142"/>
      <c r="E30" s="294"/>
      <c r="F30" s="272"/>
      <c r="G30" s="275"/>
      <c r="H30" s="296"/>
      <c r="I30" s="102"/>
      <c r="J30" s="25"/>
      <c r="K30" s="143">
        <f t="shared" si="2"/>
        <v>0</v>
      </c>
      <c r="L30" s="137"/>
      <c r="M30" s="26"/>
      <c r="N30" s="97">
        <f t="shared" si="10"/>
        <v>0</v>
      </c>
      <c r="O30" s="132"/>
    </row>
    <row r="31" spans="1:15" s="95" customFormat="1" ht="13.5" thickBot="1">
      <c r="A31" s="261" t="s">
        <v>14</v>
      </c>
      <c r="B31" s="262"/>
      <c r="C31" s="262"/>
      <c r="D31" s="297"/>
      <c r="E31" s="149">
        <f>E29</f>
        <v>1</v>
      </c>
      <c r="F31" s="144">
        <f t="shared" ref="F31:N31" si="11">SUM(F29:F30)</f>
        <v>0</v>
      </c>
      <c r="G31" s="146">
        <f t="shared" si="11"/>
        <v>0</v>
      </c>
      <c r="H31" s="145">
        <f t="shared" si="11"/>
        <v>0</v>
      </c>
      <c r="I31" s="144">
        <f t="shared" si="11"/>
        <v>0</v>
      </c>
      <c r="J31" s="146">
        <f t="shared" si="11"/>
        <v>0</v>
      </c>
      <c r="K31" s="147">
        <f t="shared" si="11"/>
        <v>0</v>
      </c>
      <c r="L31" s="144">
        <f t="shared" si="11"/>
        <v>0</v>
      </c>
      <c r="M31" s="146">
        <f t="shared" si="11"/>
        <v>0</v>
      </c>
      <c r="N31" s="147">
        <f t="shared" si="11"/>
        <v>0</v>
      </c>
      <c r="O31" s="101"/>
    </row>
    <row r="32" spans="1:15" s="108" customFormat="1" ht="13.5" thickBot="1">
      <c r="A32" s="280" t="s">
        <v>13</v>
      </c>
      <c r="B32" s="281"/>
      <c r="C32" s="281"/>
      <c r="D32" s="282"/>
      <c r="E32" s="153">
        <f>E17+E21+E24+E28+E31</f>
        <v>5</v>
      </c>
      <c r="F32" s="105">
        <f t="shared" ref="F32:N32" si="12">F17+F21+F24+F28+F31</f>
        <v>0</v>
      </c>
      <c r="G32" s="106">
        <f t="shared" si="12"/>
        <v>1</v>
      </c>
      <c r="H32" s="107">
        <f t="shared" si="12"/>
        <v>1</v>
      </c>
      <c r="I32" s="105">
        <f t="shared" si="12"/>
        <v>0</v>
      </c>
      <c r="J32" s="106">
        <f t="shared" si="12"/>
        <v>1</v>
      </c>
      <c r="K32" s="107">
        <f t="shared" si="12"/>
        <v>1</v>
      </c>
      <c r="L32" s="105">
        <f t="shared" si="12"/>
        <v>6</v>
      </c>
      <c r="M32" s="106">
        <f t="shared" si="12"/>
        <v>0</v>
      </c>
      <c r="N32" s="107">
        <f t="shared" si="12"/>
        <v>6</v>
      </c>
      <c r="O32" s="133"/>
    </row>
    <row r="34" spans="1:15">
      <c r="A34" s="27" t="s">
        <v>15</v>
      </c>
      <c r="C34" s="28"/>
      <c r="D34" s="138" t="s">
        <v>51</v>
      </c>
      <c r="F34" s="36"/>
    </row>
    <row r="35" spans="1:15">
      <c r="A35" s="27"/>
      <c r="C35" s="28"/>
      <c r="D35" s="138"/>
      <c r="F35" s="29"/>
    </row>
    <row r="36" spans="1:15">
      <c r="A36" s="27"/>
      <c r="C36" s="28"/>
      <c r="D36" s="138"/>
      <c r="F36" s="29"/>
    </row>
    <row r="37" spans="1:15">
      <c r="A37" s="27"/>
      <c r="C37" s="28"/>
      <c r="D37" s="138"/>
      <c r="F37" s="29"/>
    </row>
    <row r="38" spans="1:15" s="34" customFormat="1">
      <c r="A38" s="30" t="s">
        <v>16</v>
      </c>
      <c r="B38" s="31"/>
      <c r="C38" s="32"/>
      <c r="D38" s="139" t="s">
        <v>42</v>
      </c>
      <c r="G38" s="33"/>
      <c r="H38" s="33"/>
      <c r="I38" s="33"/>
      <c r="J38" s="33"/>
      <c r="K38" s="33"/>
      <c r="L38" s="33"/>
      <c r="M38" s="33"/>
      <c r="N38" s="33"/>
      <c r="O38" s="35"/>
    </row>
    <row r="39" spans="1:15" s="19" customFormat="1">
      <c r="A39" s="16" t="s">
        <v>17</v>
      </c>
      <c r="B39" s="17"/>
      <c r="C39" s="18"/>
      <c r="D39" s="140" t="s">
        <v>43</v>
      </c>
      <c r="G39" s="17"/>
      <c r="H39" s="17"/>
      <c r="I39" s="17"/>
      <c r="J39" s="17"/>
      <c r="K39" s="17"/>
      <c r="L39" s="17"/>
      <c r="M39" s="17"/>
      <c r="N39" s="17"/>
      <c r="O39" s="20"/>
    </row>
    <row r="40" spans="1:15">
      <c r="C40" s="18"/>
      <c r="D40" s="140" t="s">
        <v>52</v>
      </c>
    </row>
  </sheetData>
  <mergeCells count="39">
    <mergeCell ref="O14:O15"/>
    <mergeCell ref="A10:N10"/>
    <mergeCell ref="A11:N11"/>
    <mergeCell ref="A14:A15"/>
    <mergeCell ref="B14:B15"/>
    <mergeCell ref="C14:C15"/>
    <mergeCell ref="D14:D15"/>
    <mergeCell ref="E14:E15"/>
    <mergeCell ref="F14:H14"/>
    <mergeCell ref="I14:K14"/>
    <mergeCell ref="L14:N14"/>
    <mergeCell ref="A17:D17"/>
    <mergeCell ref="A21:D21"/>
    <mergeCell ref="A24:D24"/>
    <mergeCell ref="A25:A27"/>
    <mergeCell ref="B25:B27"/>
    <mergeCell ref="C25:C27"/>
    <mergeCell ref="G29:G30"/>
    <mergeCell ref="H29:H30"/>
    <mergeCell ref="A31:D31"/>
    <mergeCell ref="E25:E27"/>
    <mergeCell ref="F25:F27"/>
    <mergeCell ref="G25:G27"/>
    <mergeCell ref="H25:H27"/>
    <mergeCell ref="A28:D28"/>
    <mergeCell ref="A29:A30"/>
    <mergeCell ref="B29:B30"/>
    <mergeCell ref="C29:C30"/>
    <mergeCell ref="E29:E30"/>
    <mergeCell ref="F29:F30"/>
    <mergeCell ref="A32:D32"/>
    <mergeCell ref="A18:A20"/>
    <mergeCell ref="B18:B20"/>
    <mergeCell ref="C18:C20"/>
    <mergeCell ref="E18:E20"/>
    <mergeCell ref="E22:E23"/>
    <mergeCell ref="C22:C23"/>
    <mergeCell ref="B22:B23"/>
    <mergeCell ref="A22:A23"/>
  </mergeCells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SUMMARY</vt:lpstr>
      <vt:lpstr>MONITORING</vt:lpstr>
      <vt:lpstr>FEB</vt:lpstr>
      <vt:lpstr>MAR</vt:lpstr>
      <vt:lpstr>APR</vt:lpstr>
      <vt:lpstr>APR!Print_Area</vt:lpstr>
      <vt:lpstr>FEB!Print_Area</vt:lpstr>
      <vt:lpstr>MAR!Print_Area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Charo Lacre</dc:creator>
  <cp:lastModifiedBy>Ajean Torralba</cp:lastModifiedBy>
  <cp:lastPrinted>2026-04-06T08:49:47Z</cp:lastPrinted>
  <dcterms:created xsi:type="dcterms:W3CDTF">2025-02-24T06:35:00Z</dcterms:created>
  <dcterms:modified xsi:type="dcterms:W3CDTF">2026-04-08T03:54:12Z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D4A3D893A2054B0789E8A67C61B1815B_12</vt:lpwstr>
  </property>
  <property fmtid="{D5CDD505-2E9C-101B-9397-08002B2CF9AE}" pid="3" name="KSOProductBuildVer">
    <vt:lpwstr>1033-12.2.0.20326</vt:lpwstr>
  </property>
</Properties>
</file>