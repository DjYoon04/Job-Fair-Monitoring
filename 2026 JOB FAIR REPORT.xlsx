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MW OFFICE RELATED-Ajean\1. CORE FUNCTIONS\4. MONITORING SUPERVISION OF JOB FAIR ACTIVITIES\2026\JOB FAIR REPORT\"/>
    </mc:Choice>
  </mc:AlternateContent>
  <xr:revisionPtr revIDLastSave="0" documentId="13_ncr:1_{5AC9A58E-E37E-4E71-907D-47950D357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4" r:id="rId1"/>
    <sheet name="MONITORING" sheetId="27" r:id="rId2"/>
    <sheet name="FEB" sheetId="16" r:id="rId3"/>
    <sheet name="MAR" sheetId="25" r:id="rId4"/>
  </sheets>
  <definedNames>
    <definedName name="_xlnm.Print_Area" localSheetId="2">FEB!$A$2:$N$30</definedName>
    <definedName name="_xlnm.Print_Area" localSheetId="3">MAR!$A$3:$N$34</definedName>
    <definedName name="_xlnm.Print_Area" localSheetId="0">SUMMARY!$A$3:$G$42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4" l="1"/>
  <c r="D10" i="24"/>
  <c r="C10" i="24"/>
  <c r="E10" i="24" s="1"/>
  <c r="G15" i="16"/>
  <c r="G16" i="16" s="1"/>
  <c r="J16" i="16"/>
  <c r="F15" i="16"/>
  <c r="M21" i="16"/>
  <c r="L21" i="16"/>
  <c r="J21" i="16"/>
  <c r="J22" i="16" s="1"/>
  <c r="I21" i="16"/>
  <c r="G21" i="16"/>
  <c r="F21" i="16"/>
  <c r="E21" i="16"/>
  <c r="M16" i="16"/>
  <c r="M22" i="16" s="1"/>
  <c r="L16" i="16"/>
  <c r="L22" i="16" s="1"/>
  <c r="I16" i="16"/>
  <c r="E16" i="16"/>
  <c r="E22" i="16" s="1"/>
  <c r="M26" i="25"/>
  <c r="L26" i="25"/>
  <c r="J26" i="25"/>
  <c r="I26" i="25"/>
  <c r="G26" i="25"/>
  <c r="F26" i="25"/>
  <c r="E25" i="25"/>
  <c r="E26" i="25" s="1"/>
  <c r="N22" i="25"/>
  <c r="K22" i="25"/>
  <c r="H22" i="25"/>
  <c r="N19" i="25"/>
  <c r="K19" i="25"/>
  <c r="H19" i="25"/>
  <c r="N18" i="25"/>
  <c r="K18" i="25"/>
  <c r="H18" i="25"/>
  <c r="N17" i="25"/>
  <c r="K17" i="25"/>
  <c r="H17" i="25"/>
  <c r="N16" i="25"/>
  <c r="K16" i="25"/>
  <c r="H16" i="25"/>
  <c r="N18" i="16"/>
  <c r="N19" i="16"/>
  <c r="K18" i="16"/>
  <c r="K19" i="16"/>
  <c r="H17" i="16"/>
  <c r="H21" i="16" s="1"/>
  <c r="D15" i="24"/>
  <c r="E11" i="24"/>
  <c r="E12" i="24"/>
  <c r="E13" i="24"/>
  <c r="E14" i="24"/>
  <c r="C22" i="24"/>
  <c r="D22" i="24"/>
  <c r="F22" i="24"/>
  <c r="F15" i="24"/>
  <c r="F23" i="24" s="1"/>
  <c r="B22" i="24"/>
  <c r="E18" i="24"/>
  <c r="G22" i="24"/>
  <c r="G15" i="24"/>
  <c r="K17" i="16"/>
  <c r="N17" i="16"/>
  <c r="N20" i="16"/>
  <c r="K20" i="16"/>
  <c r="N15" i="16"/>
  <c r="N16" i="16" s="1"/>
  <c r="K15" i="16"/>
  <c r="K16" i="16" s="1"/>
  <c r="N21" i="16" l="1"/>
  <c r="N22" i="16" s="1"/>
  <c r="G22" i="16"/>
  <c r="K21" i="16"/>
  <c r="K22" i="16" s="1"/>
  <c r="I22" i="16"/>
  <c r="F16" i="16"/>
  <c r="F22" i="16" s="1"/>
  <c r="H15" i="16"/>
  <c r="H16" i="16" s="1"/>
  <c r="H22" i="16" s="1"/>
  <c r="N26" i="25"/>
  <c r="H26" i="25"/>
  <c r="K26" i="25"/>
  <c r="G23" i="24"/>
  <c r="D23" i="24"/>
  <c r="E9" i="24"/>
  <c r="E15" i="24" s="1"/>
  <c r="C15" i="24"/>
  <c r="C23" i="24" s="1"/>
  <c r="E17" i="24"/>
  <c r="B15" i="24"/>
  <c r="B23" i="24" s="1"/>
  <c r="E19" i="24"/>
  <c r="E16" i="24"/>
  <c r="E21" i="24"/>
  <c r="E20" i="24"/>
  <c r="E22" i="24" l="1"/>
  <c r="E23" i="24" s="1"/>
</calcChain>
</file>

<file path=xl/sharedStrings.xml><?xml version="1.0" encoding="utf-8"?>
<sst xmlns="http://schemas.openxmlformats.org/spreadsheetml/2006/main" count="207" uniqueCount="131">
  <si>
    <t>REMARKS</t>
  </si>
  <si>
    <t>JENERICK INTERNATIONAL MANPOWER INC.</t>
  </si>
  <si>
    <t>MMML RECRUITMENT SERVICES INC.</t>
  </si>
  <si>
    <t>FEMALE</t>
  </si>
  <si>
    <t>NO. OF JOBS FAIR FACILITATED/ SUPERVISED</t>
  </si>
  <si>
    <t>NUMBER OF REGISTERED APPLICANTS</t>
  </si>
  <si>
    <t xml:space="preserve">MALE </t>
  </si>
  <si>
    <t>NUMBER OF PARTICIPATING AGENCIES</t>
  </si>
  <si>
    <t>LAND BASED RECRUITMENT AGENCY</t>
  </si>
  <si>
    <t>SEA-BASED/ MANNING AGENCY</t>
  </si>
  <si>
    <t>TOTAL:</t>
  </si>
  <si>
    <t xml:space="preserve"> JOB FAIR DATES</t>
  </si>
  <si>
    <t xml:space="preserve"> JOB FAIR VENUE</t>
  </si>
  <si>
    <t>GRAND TOTAL:</t>
  </si>
  <si>
    <t>Sub total:</t>
  </si>
  <si>
    <t>Prepared by:</t>
  </si>
  <si>
    <t>AURORA JEAN A. TORRALBA</t>
  </si>
  <si>
    <t>Labor and Employment Officer I</t>
  </si>
  <si>
    <t>Noted by:</t>
  </si>
  <si>
    <t>EDDIE PARAGUYA</t>
  </si>
  <si>
    <t>JOB FAIR REPORT</t>
  </si>
  <si>
    <t>AGENCY/ INSTITUTION</t>
  </si>
  <si>
    <t>SAINT MICHAEL COLLEGE OF CARAGA</t>
  </si>
  <si>
    <t>DIMENSION-ALL MANPOWER INC.</t>
  </si>
  <si>
    <t>MARISSA A. GARAY</t>
  </si>
  <si>
    <t>MUNICIPALITY OF MADRID, SURIGAO DEL SUR</t>
  </si>
  <si>
    <t>SMC MANPOWER AGENCY PHILIPPINES COMPANY</t>
  </si>
  <si>
    <t>MONTHS</t>
  </si>
  <si>
    <t>JANUARY</t>
  </si>
  <si>
    <t>FEBRUARY</t>
  </si>
  <si>
    <t>MARCH</t>
  </si>
  <si>
    <t>APRIL</t>
  </si>
  <si>
    <t xml:space="preserve">MAY </t>
  </si>
  <si>
    <t>JUNE</t>
  </si>
  <si>
    <t>JULY</t>
  </si>
  <si>
    <t xml:space="preserve">AUGUST </t>
  </si>
  <si>
    <t>SEPTEMBER</t>
  </si>
  <si>
    <t xml:space="preserve">OCTOBER </t>
  </si>
  <si>
    <t>NOVEMBER</t>
  </si>
  <si>
    <t>DECEMBER</t>
  </si>
  <si>
    <t>Approved by:</t>
  </si>
  <si>
    <t>RITCHEL M. BUTAO</t>
  </si>
  <si>
    <t>OIC-Regional Director</t>
  </si>
  <si>
    <t>MIGRANT WORKERS PROCESSING DIVISION</t>
  </si>
  <si>
    <t>REGIENALD S. ESPALDON, CPA</t>
  </si>
  <si>
    <t>OIC-Assistant Regional Director</t>
  </si>
  <si>
    <t>Chief Administrative Officer and</t>
  </si>
  <si>
    <t>SUMMARY OF JOBS FAIR FACILITATED/ SUPERVISED REPORT</t>
  </si>
  <si>
    <t xml:space="preserve"> </t>
  </si>
  <si>
    <t>SUB TOTAL:</t>
  </si>
  <si>
    <t>FY 2026</t>
  </si>
  <si>
    <t>FOR THE MONTH OF FEBRUARY 2026</t>
  </si>
  <si>
    <t>NUMBER OF REGISTERED APPLICANTS PER TERMINAL REPORT</t>
  </si>
  <si>
    <t>Reviewed By:</t>
  </si>
  <si>
    <t>Regional Directtor</t>
  </si>
  <si>
    <t>and OIC- Chief Labor and Employment Officer</t>
  </si>
  <si>
    <t>CITY SOCIAL HALL, PEOPLE'S GOVERNMENT CENTER, CABADBARAN CITY</t>
  </si>
  <si>
    <t>RECRUTIMENT AGENCIES</t>
  </si>
  <si>
    <t>LOCAL GOVERNMENT UNIT OF CABADBARAN</t>
  </si>
  <si>
    <t>ROBINSONS MALL BUTUAN, JC. AQUINO AVE., BUTUAN CITY</t>
  </si>
  <si>
    <t>LOCAL GOVERNMENT UNIT OF BUTUAN</t>
  </si>
  <si>
    <t>MYRIAD HUMAN RESOURCES &amp; SERVICES INC.</t>
  </si>
  <si>
    <t>JFA NO.</t>
  </si>
  <si>
    <t>MONITORED BY:</t>
  </si>
  <si>
    <t>IJEP</t>
  </si>
  <si>
    <t>IJEP WITH PEOS</t>
  </si>
  <si>
    <t>JNPE</t>
  </si>
  <si>
    <t>MAG</t>
  </si>
  <si>
    <t>IAN JOSHUA E. PAQUEO</t>
  </si>
  <si>
    <t>JUNE NEIL P. ENSOMO</t>
  </si>
  <si>
    <t>JOANINE BLYTH ROSS C. VILLARINO</t>
  </si>
  <si>
    <t>JBRCV</t>
  </si>
  <si>
    <t>AJAT</t>
  </si>
  <si>
    <t>EP</t>
  </si>
  <si>
    <t>FOR THE MONTH OF MARCH 2026</t>
  </si>
  <si>
    <t>BUT-26-0203-002</t>
  </si>
  <si>
    <t>BUT-26-0213-005</t>
  </si>
  <si>
    <t>BUT-26-0213-008</t>
  </si>
  <si>
    <t>BUT-26-0213-009</t>
  </si>
  <si>
    <t>BUT-26-0219-012</t>
  </si>
  <si>
    <t>March 5-6, 2026</t>
  </si>
  <si>
    <t>MUNICIPAL COVERED COURT, SAN JOSE BUILDING COMPOUND, P-4 BRGY. STA. CRUZ, SAN JOSE, PROVINCE OF DINAGAT ISLANDS</t>
  </si>
  <si>
    <t>STAR WORLD INTERNATIONAL MANPOWER &amp; PLACEMENT AGENCY, INC.</t>
  </si>
  <si>
    <t>MUNICIPALITY OF PROSPERIDAD, AGUSAN DEL SUR</t>
  </si>
  <si>
    <t>MUNICIPALITY OF SAN JOSE, DINAGAT ISLANDS</t>
  </si>
  <si>
    <t>March 19-20, 2026</t>
  </si>
  <si>
    <t>BUT-26-0210-003</t>
  </si>
  <si>
    <t>PESO-SAN JOSE</t>
  </si>
  <si>
    <t>BUT-26-0212-004</t>
  </si>
  <si>
    <t>BUT-26-0213-006</t>
  </si>
  <si>
    <t>BUT-26-0216-011</t>
  </si>
  <si>
    <t>..\JOB FAIR ACTIVITIES\2. MARCH\Mar. 5-6, 2026- San Jose, PDI</t>
  </si>
  <si>
    <t>..\JOB FAIR ACTIVITIES\1. FEBRUARY\2-23-26- CBR</t>
  </si>
  <si>
    <t>..\JOB FAIR ACTIVITIES\1. FEBRUARY\2-26-26- BUTUAN</t>
  </si>
  <si>
    <t>SMCC QUADRANGLE, ATUPAN ST., BRGY. 4, NASIPIT, AGUSAN DEL NORTE</t>
  </si>
  <si>
    <t>..\JOB FAIR ACTIVITIES\2. MARCH\Mar. 12, 2026- SMCC</t>
  </si>
  <si>
    <t>..\JOB FAIR ACTIVITIES\2. MARCH\Mar. 6, 2026- Prosperidad, ADS</t>
  </si>
  <si>
    <t>..\JOB FAIR ACTIVITIES\2. MARCH\Mar. 19-20, 2026- Cagdianao, PDI</t>
  </si>
  <si>
    <t>PESO-CAGDIANAO</t>
  </si>
  <si>
    <t>CULTURAL AND SPORTS CENTER, CAGDIANAO, PROVINCE OF DINAGAT ISLANDS</t>
  </si>
  <si>
    <t>MUNICIPALITY OF CAGDIANAO, DINAGAT ISLANDS</t>
  </si>
  <si>
    <t>NAME</t>
  </si>
  <si>
    <t>INITIAL</t>
  </si>
  <si>
    <t>2026 JOB FAIR MONITORING</t>
  </si>
  <si>
    <t>NO.</t>
  </si>
  <si>
    <t>IMPLEMENTING AGENCY</t>
  </si>
  <si>
    <t>JOB FAIR DATE/S</t>
  </si>
  <si>
    <t>JOB FAIR VENUE</t>
  </si>
  <si>
    <t>DATE</t>
  </si>
  <si>
    <t>FERBUARY</t>
  </si>
  <si>
    <t>LGU-CABADBARAN CITY</t>
  </si>
  <si>
    <t>LGU- BUTUAN CITY</t>
  </si>
  <si>
    <t>COMMUNICATION LETTER RECEIVED</t>
  </si>
  <si>
    <t>CONFIRMATION DEADLINE IN THE IMPLEMENTING AGENCY</t>
  </si>
  <si>
    <t>NOT SPECIFY</t>
  </si>
  <si>
    <t>MUNICIPALITY OF SAN JOSE, PDI</t>
  </si>
  <si>
    <t>EMAILED THE TRANSMITTAL LETTER WITH JOB ORDER SUMMARY</t>
  </si>
  <si>
    <t>EMAILED THE INVITATION LETTERS TO RECRUITMENT AGENCIES</t>
  </si>
  <si>
    <t>DATU LIPUS MAKAPANDONG CULTURAL CENTER, GOVERNOR DEMOCRITO O. PLAZA GOVERNMENT CENTER, PROSPERIDAD, AGUSAN DEL SUR</t>
  </si>
  <si>
    <t>MUNICIPALITY OF PROSPERIDAD, ADS</t>
  </si>
  <si>
    <t>EVIDENCE</t>
  </si>
  <si>
    <t>CARAGA STATE UNIVERSITY CABADBARAN CAMPUS</t>
  </si>
  <si>
    <t>CSUCC GYMANSIUM, CABADBARAN CITY</t>
  </si>
  <si>
    <t>..\JOB FAIR ACTIVITIES\3. APRIL\4-23-26- CSUCC</t>
  </si>
  <si>
    <t>MAY</t>
  </si>
  <si>
    <t>MADRID, SURIGAO DEL SUR</t>
  </si>
  <si>
    <t>..\JOB FAIR ACTIVITIES\4. MAY\5-6-26- MADRID</t>
  </si>
  <si>
    <t>DEADLINE OF AGENCIES CONFIRMATION IS ON FEB. 26, 2026</t>
  </si>
  <si>
    <t>DEADLINE OF AGENCIES CONFIRMATION IS ON MAR. 25, 2026</t>
  </si>
  <si>
    <t>NO. OF JOB FAIRS FACILITATED/ SUPERVISED</t>
  </si>
  <si>
    <t xml:space="preserve"> JOB FAIR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</si>
</sst>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20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i/>
      <sz val="10"/>
      <color theme="1"/>
      <name val="Tahoma"/>
      <family val="2"/>
    </font>
    <font>
      <b/>
      <sz val="14"/>
      <color theme="1"/>
      <name val="Tahoma"/>
      <family val="2"/>
    </font>
    <font>
      <i/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color rgb="FF0000FF"/>
      <name val="Tahoma"/>
      <family val="2"/>
    </font>
    <font>
      <b/>
      <i/>
      <sz val="11"/>
      <color theme="1"/>
      <name val="Tahoma"/>
      <family val="2"/>
    </font>
    <font>
      <b/>
      <sz val="11"/>
      <color rgb="FF0000FF"/>
      <name val="Tahoma"/>
      <family val="2"/>
    </font>
    <font>
      <sz val="12"/>
      <color theme="1"/>
      <name val="Tahoma"/>
      <family val="2"/>
    </font>
    <font>
      <b/>
      <i/>
      <sz val="12"/>
      <color theme="1"/>
      <name val="Tahoma"/>
      <family val="2"/>
    </font>
    <font>
      <b/>
      <sz val="12"/>
      <color rgb="FF0000FF"/>
      <name val="Tahoma"/>
      <family val="2"/>
    </font>
    <font>
      <sz val="11"/>
      <color rgb="FF0000FF"/>
      <name val="Tahoma"/>
      <family val="2"/>
    </font>
    <font>
      <sz val="14"/>
      <color theme="1"/>
      <name val="Tahoma"/>
      <family val="2"/>
    </font>
    <font>
      <b/>
      <sz val="16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/>
    <xf numFmtId="1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1" fontId="2" fillId="5" borderId="19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6" fillId="0" borderId="4" xfId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15" fontId="8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 indent="9"/>
    </xf>
    <xf numFmtId="0" fontId="3" fillId="0" borderId="0" xfId="0" applyFont="1"/>
    <xf numFmtId="0" fontId="8" fillId="0" borderId="0" xfId="0" applyFont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left" vertical="center" wrapText="1" indent="9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left" vertical="center" indent="9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vertical="center"/>
    </xf>
    <xf numFmtId="164" fontId="7" fillId="7" borderId="4" xfId="0" applyNumberFormat="1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4" xfId="0" quotePrefix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5" fontId="1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14" fillId="3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vertical="center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5" fontId="1" fillId="0" borderId="4" xfId="0" applyNumberFormat="1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164" fontId="2" fillId="5" borderId="20" xfId="0" applyNumberFormat="1" applyFont="1" applyFill="1" applyBorder="1" applyAlignment="1">
      <alignment horizontal="center" vertical="center" wrapText="1"/>
    </xf>
    <xf numFmtId="164" fontId="2" fillId="5" borderId="24" xfId="0" applyNumberFormat="1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4" fontId="7" fillId="7" borderId="4" xfId="0" applyNumberFormat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15" fontId="8" fillId="0" borderId="4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1154430</xdr:colOff>
      <xdr:row>0</xdr:row>
      <xdr:rowOff>156210</xdr:rowOff>
    </xdr:from>
    <xdr:to>
      <xdr:col>9</xdr:col>
      <xdr:colOff>131334</xdr:colOff>
      <xdr:row>8</xdr:row>
      <xdr:rowOff>34042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80CB04-5DF5-49DF-8E7D-C77306B94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156210"/>
          <a:ext cx="6339729" cy="1325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1154430</xdr:colOff>
      <xdr:row>1</xdr:row>
      <xdr:rowOff>146685</xdr:rowOff>
    </xdr:from>
    <xdr:to>
      <xdr:col>9</xdr:col>
      <xdr:colOff>283734</xdr:colOff>
      <xdr:row>10</xdr:row>
      <xdr:rowOff>14992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3FE1F-6E3E-4E99-8B67-05A8F5AE6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337185"/>
          <a:ext cx="6339729" cy="1325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JOB%20FAIR%20ACTIVITIES\4.%20MAY\5-6-26-%20MADRID" TargetMode="External"/><Relationship Id="rId3" Type="http://schemas.openxmlformats.org/officeDocument/2006/relationships/hyperlink" Target="..\JOB%20FAIR%20ACTIVITIES\2.%20MARCH\Mar.%205-6,%202026-%20San%20Jose,%20PDI" TargetMode="External"/><Relationship Id="rId7" Type="http://schemas.openxmlformats.org/officeDocument/2006/relationships/hyperlink" Target="..\JOB%20FAIR%20ACTIVITIES\3.%20APRIL\4-23-26-%20CSUCC" TargetMode="External"/><Relationship Id="rId2" Type="http://schemas.openxmlformats.org/officeDocument/2006/relationships/hyperlink" Target="..\JOB%20FAIR%20ACTIVITIES\1.%20FEBRUARY\2-26-26-%20BUTUAN" TargetMode="External"/><Relationship Id="rId1" Type="http://schemas.openxmlformats.org/officeDocument/2006/relationships/hyperlink" Target="..\JOB%20FAIR%20ACTIVITIES\1.%20FEBRUARY\2-23-26-%20CBR" TargetMode="External"/><Relationship Id="rId6" Type="http://schemas.openxmlformats.org/officeDocument/2006/relationships/hyperlink" Target="..\JOB%20FAIR%20ACTIVITIES\2.%20MARCH\Mar.%2019-20,%202026-%20Cagdianao,%20PDI" TargetMode="External"/><Relationship Id="rId5" Type="http://schemas.openxmlformats.org/officeDocument/2006/relationships/hyperlink" Target="..\JOB%20FAIR%20ACTIVITIES\2.%20MARCH\Mar.%2012,%202026-%20SMCC" TargetMode="External"/><Relationship Id="rId4" Type="http://schemas.openxmlformats.org/officeDocument/2006/relationships/hyperlink" Target="..\JOB%20FAIR%20ACTIVITIES\2.%20MARCH\Mar.%206,%202026-%20Prosperidad,%20AD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E8B1-2E6E-4630-B8C0-2A54E528DD60}">
  <sheetPr>
    <pageSetUpPr fitToPage="1"/>
  </sheetPr>
  <dimension ref="A1:L38"/>
  <sheetViews>
    <sheetView tabSelected="1" workbookViewId="0">
      <selection activeCell="J24" sqref="J24"/>
    </sheetView>
  </sheetViews>
  <sheetFormatPr defaultRowHeight="14.25"/>
  <cols>
    <col min="1" max="1" width="20.7109375" style="20" customWidth="1"/>
    <col min="2" max="2" width="16.7109375" style="20" customWidth="1"/>
    <col min="3" max="3" width="12.7109375" style="20" customWidth="1"/>
    <col min="4" max="4" width="12" style="20" customWidth="1"/>
    <col min="5" max="5" width="10.7109375" style="20" customWidth="1"/>
    <col min="6" max="6" width="16.42578125" style="20" customWidth="1"/>
    <col min="7" max="7" width="17.5703125" style="20" customWidth="1"/>
    <col min="8" max="16384" width="9.140625" style="20"/>
  </cols>
  <sheetData>
    <row r="1" spans="1:7">
      <c r="A1" s="2"/>
      <c r="B1" s="6"/>
      <c r="C1" s="1"/>
      <c r="D1" s="1"/>
      <c r="E1" s="1"/>
      <c r="F1" s="1"/>
      <c r="G1" s="1"/>
    </row>
    <row r="2" spans="1:7">
      <c r="A2" s="2"/>
      <c r="B2" s="6"/>
      <c r="C2" s="1"/>
      <c r="D2" s="1"/>
      <c r="E2" s="1"/>
      <c r="F2" s="1"/>
      <c r="G2" s="1"/>
    </row>
    <row r="3" spans="1:7" ht="18">
      <c r="A3" s="141" t="s">
        <v>43</v>
      </c>
      <c r="B3" s="141"/>
      <c r="C3" s="141"/>
      <c r="D3" s="141"/>
      <c r="E3" s="141"/>
      <c r="F3" s="141"/>
      <c r="G3" s="141"/>
    </row>
    <row r="4" spans="1:7" ht="18">
      <c r="A4" s="141" t="s">
        <v>47</v>
      </c>
      <c r="B4" s="141"/>
      <c r="C4" s="141"/>
      <c r="D4" s="141"/>
      <c r="E4" s="141"/>
      <c r="F4" s="141"/>
      <c r="G4" s="141"/>
    </row>
    <row r="5" spans="1:7" ht="18">
      <c r="A5" s="141" t="s">
        <v>50</v>
      </c>
      <c r="B5" s="141"/>
      <c r="C5" s="141"/>
      <c r="D5" s="141"/>
      <c r="E5" s="141"/>
      <c r="F5" s="141"/>
      <c r="G5" s="141"/>
    </row>
    <row r="6" spans="1:7" ht="15" thickBot="1">
      <c r="A6" s="2"/>
      <c r="B6" s="6"/>
      <c r="C6" s="1"/>
      <c r="D6" s="1"/>
      <c r="E6" s="1"/>
      <c r="F6" s="1"/>
      <c r="G6" s="1"/>
    </row>
    <row r="7" spans="1:7" ht="35.450000000000003" customHeight="1">
      <c r="A7" s="142" t="s">
        <v>27</v>
      </c>
      <c r="B7" s="144" t="s">
        <v>4</v>
      </c>
      <c r="C7" s="146" t="s">
        <v>5</v>
      </c>
      <c r="D7" s="147"/>
      <c r="E7" s="148"/>
      <c r="F7" s="146" t="s">
        <v>7</v>
      </c>
      <c r="G7" s="148"/>
    </row>
    <row r="8" spans="1:7" ht="43.5" thickBot="1">
      <c r="A8" s="143"/>
      <c r="B8" s="145"/>
      <c r="C8" s="26" t="s">
        <v>6</v>
      </c>
      <c r="D8" s="25" t="s">
        <v>3</v>
      </c>
      <c r="E8" s="27" t="s">
        <v>10</v>
      </c>
      <c r="F8" s="26" t="s">
        <v>8</v>
      </c>
      <c r="G8" s="27" t="s">
        <v>9</v>
      </c>
    </row>
    <row r="9" spans="1:7">
      <c r="A9" s="12" t="s">
        <v>28</v>
      </c>
      <c r="B9" s="12"/>
      <c r="C9" s="13"/>
      <c r="D9" s="9"/>
      <c r="E9" s="14">
        <f>SUM(C9:D9)</f>
        <v>0</v>
      </c>
      <c r="F9" s="13"/>
      <c r="G9" s="14"/>
    </row>
    <row r="10" spans="1:7">
      <c r="A10" s="10" t="s">
        <v>29</v>
      </c>
      <c r="B10" s="10">
        <v>2</v>
      </c>
      <c r="C10" s="15">
        <f>FEB!F22</f>
        <v>44</v>
      </c>
      <c r="D10" s="7">
        <f>FEB!G22</f>
        <v>30</v>
      </c>
      <c r="E10" s="14">
        <f t="shared" ref="E10:E21" si="0">SUM(C10:D10)</f>
        <v>74</v>
      </c>
      <c r="F10" s="15">
        <f>FEB!L22</f>
        <v>5</v>
      </c>
      <c r="G10" s="16"/>
    </row>
    <row r="11" spans="1:7">
      <c r="A11" s="10" t="s">
        <v>30</v>
      </c>
      <c r="B11" s="10"/>
      <c r="C11" s="15"/>
      <c r="D11" s="7"/>
      <c r="E11" s="14">
        <f t="shared" si="0"/>
        <v>0</v>
      </c>
      <c r="F11" s="15"/>
      <c r="G11" s="16"/>
    </row>
    <row r="12" spans="1:7">
      <c r="A12" s="10" t="s">
        <v>31</v>
      </c>
      <c r="B12" s="10"/>
      <c r="C12" s="15"/>
      <c r="D12" s="7"/>
      <c r="E12" s="14">
        <f t="shared" si="0"/>
        <v>0</v>
      </c>
      <c r="F12" s="15"/>
      <c r="G12" s="16"/>
    </row>
    <row r="13" spans="1:7">
      <c r="A13" s="10" t="s">
        <v>32</v>
      </c>
      <c r="B13" s="10"/>
      <c r="C13" s="15"/>
      <c r="D13" s="7"/>
      <c r="E13" s="14">
        <f t="shared" si="0"/>
        <v>0</v>
      </c>
      <c r="F13" s="15"/>
      <c r="G13" s="16"/>
    </row>
    <row r="14" spans="1:7" ht="15" thickBot="1">
      <c r="A14" s="11" t="s">
        <v>33</v>
      </c>
      <c r="B14" s="11"/>
      <c r="C14" s="17"/>
      <c r="D14" s="8"/>
      <c r="E14" s="29">
        <f t="shared" si="0"/>
        <v>0</v>
      </c>
      <c r="F14" s="17"/>
      <c r="G14" s="18"/>
    </row>
    <row r="15" spans="1:7" ht="15" thickBot="1">
      <c r="A15" s="30" t="s">
        <v>49</v>
      </c>
      <c r="B15" s="30">
        <f>SUM(B9:B14)</f>
        <v>2</v>
      </c>
      <c r="C15" s="30">
        <f t="shared" ref="C15:G15" si="1">SUM(C9:C14)</f>
        <v>44</v>
      </c>
      <c r="D15" s="30">
        <f t="shared" si="1"/>
        <v>30</v>
      </c>
      <c r="E15" s="30">
        <f t="shared" si="1"/>
        <v>74</v>
      </c>
      <c r="F15" s="30">
        <f t="shared" si="1"/>
        <v>5</v>
      </c>
      <c r="G15" s="30">
        <f t="shared" si="1"/>
        <v>0</v>
      </c>
    </row>
    <row r="16" spans="1:7">
      <c r="A16" s="12" t="s">
        <v>34</v>
      </c>
      <c r="B16" s="12"/>
      <c r="C16" s="13"/>
      <c r="D16" s="9"/>
      <c r="E16" s="14">
        <f t="shared" si="0"/>
        <v>0</v>
      </c>
      <c r="F16" s="13"/>
      <c r="G16" s="14"/>
    </row>
    <row r="17" spans="1:12">
      <c r="A17" s="10" t="s">
        <v>35</v>
      </c>
      <c r="B17" s="10"/>
      <c r="C17" s="15"/>
      <c r="D17" s="7"/>
      <c r="E17" s="14">
        <f t="shared" si="0"/>
        <v>0</v>
      </c>
      <c r="F17" s="15"/>
      <c r="G17" s="16"/>
    </row>
    <row r="18" spans="1:12">
      <c r="A18" s="10" t="s">
        <v>36</v>
      </c>
      <c r="B18" s="10"/>
      <c r="C18" s="15"/>
      <c r="D18" s="7"/>
      <c r="E18" s="14">
        <f t="shared" si="0"/>
        <v>0</v>
      </c>
      <c r="F18" s="15"/>
      <c r="G18" s="16"/>
    </row>
    <row r="19" spans="1:12">
      <c r="A19" s="10" t="s">
        <v>37</v>
      </c>
      <c r="B19" s="10"/>
      <c r="C19" s="15"/>
      <c r="D19" s="7"/>
      <c r="E19" s="14">
        <f t="shared" si="0"/>
        <v>0</v>
      </c>
      <c r="F19" s="15"/>
      <c r="G19" s="16"/>
    </row>
    <row r="20" spans="1:12">
      <c r="A20" s="10" t="s">
        <v>38</v>
      </c>
      <c r="B20" s="10"/>
      <c r="C20" s="15"/>
      <c r="D20" s="7"/>
      <c r="E20" s="14">
        <f t="shared" si="0"/>
        <v>0</v>
      </c>
      <c r="F20" s="15"/>
      <c r="G20" s="16"/>
    </row>
    <row r="21" spans="1:12" ht="15" thickBot="1">
      <c r="A21" s="11" t="s">
        <v>39</v>
      </c>
      <c r="B21" s="11"/>
      <c r="C21" s="17"/>
      <c r="D21" s="8"/>
      <c r="E21" s="29">
        <f t="shared" si="0"/>
        <v>0</v>
      </c>
      <c r="F21" s="17"/>
      <c r="G21" s="18"/>
      <c r="L21" s="20" t="s">
        <v>48</v>
      </c>
    </row>
    <row r="22" spans="1:12" ht="15" thickBot="1">
      <c r="A22" s="30" t="s">
        <v>49</v>
      </c>
      <c r="B22" s="30">
        <f>SUM(B16:B21)</f>
        <v>0</v>
      </c>
      <c r="C22" s="30">
        <f t="shared" ref="C22:G22" si="2">SUM(C16:C21)</f>
        <v>0</v>
      </c>
      <c r="D22" s="30">
        <f t="shared" si="2"/>
        <v>0</v>
      </c>
      <c r="E22" s="30">
        <f t="shared" si="2"/>
        <v>0</v>
      </c>
      <c r="F22" s="30">
        <f t="shared" si="2"/>
        <v>0</v>
      </c>
      <c r="G22" s="30">
        <f t="shared" si="2"/>
        <v>0</v>
      </c>
    </row>
    <row r="23" spans="1:12" s="21" customFormat="1" ht="15" thickBot="1">
      <c r="A23" s="28" t="s">
        <v>10</v>
      </c>
      <c r="B23" s="28">
        <f>B15+B22</f>
        <v>2</v>
      </c>
      <c r="C23" s="28">
        <f t="shared" ref="C23:G23" si="3">C15+C22</f>
        <v>44</v>
      </c>
      <c r="D23" s="28">
        <f t="shared" si="3"/>
        <v>30</v>
      </c>
      <c r="E23" s="28">
        <f t="shared" si="3"/>
        <v>74</v>
      </c>
      <c r="F23" s="28">
        <f t="shared" si="3"/>
        <v>5</v>
      </c>
      <c r="G23" s="28">
        <f t="shared" si="3"/>
        <v>0</v>
      </c>
    </row>
    <row r="24" spans="1:12">
      <c r="A24" s="2"/>
      <c r="B24" s="6"/>
      <c r="C24" s="1"/>
      <c r="D24" s="1"/>
      <c r="E24" s="1"/>
      <c r="F24" s="1"/>
      <c r="G24" s="1"/>
    </row>
    <row r="25" spans="1:12">
      <c r="A25" s="2" t="s">
        <v>15</v>
      </c>
      <c r="C25" s="1"/>
      <c r="D25" s="1"/>
      <c r="E25" s="19" t="s">
        <v>18</v>
      </c>
      <c r="G25" s="1"/>
    </row>
    <row r="26" spans="1:12">
      <c r="A26" s="2"/>
      <c r="C26" s="1"/>
      <c r="D26" s="1"/>
      <c r="E26" s="6"/>
      <c r="G26" s="1"/>
    </row>
    <row r="27" spans="1:12">
      <c r="A27" s="2"/>
      <c r="C27" s="1"/>
      <c r="D27" s="1"/>
      <c r="E27" s="6"/>
      <c r="G27" s="1"/>
    </row>
    <row r="28" spans="1:12">
      <c r="A28" s="2"/>
      <c r="C28" s="1"/>
      <c r="D28" s="1"/>
      <c r="E28" s="6"/>
      <c r="G28" s="1"/>
    </row>
    <row r="29" spans="1:12">
      <c r="A29" s="3" t="s">
        <v>16</v>
      </c>
      <c r="C29" s="4"/>
      <c r="D29" s="4"/>
      <c r="E29" s="5" t="s">
        <v>44</v>
      </c>
      <c r="G29" s="4"/>
    </row>
    <row r="30" spans="1:12">
      <c r="A30" s="22" t="s">
        <v>17</v>
      </c>
      <c r="C30" s="23"/>
      <c r="D30" s="23"/>
      <c r="E30" s="24" t="s">
        <v>46</v>
      </c>
      <c r="G30" s="23"/>
    </row>
    <row r="31" spans="1:12">
      <c r="A31" s="22"/>
      <c r="C31" s="23"/>
      <c r="D31" s="23"/>
      <c r="E31" s="24" t="s">
        <v>45</v>
      </c>
      <c r="G31" s="23"/>
    </row>
    <row r="33" spans="1:5">
      <c r="A33" s="2"/>
      <c r="E33" s="19" t="s">
        <v>40</v>
      </c>
    </row>
    <row r="34" spans="1:5">
      <c r="A34" s="2"/>
      <c r="E34" s="6"/>
    </row>
    <row r="35" spans="1:5">
      <c r="A35" s="2"/>
      <c r="E35" s="6"/>
    </row>
    <row r="36" spans="1:5">
      <c r="A36" s="2"/>
      <c r="E36" s="6"/>
    </row>
    <row r="37" spans="1:5">
      <c r="A37" s="3"/>
      <c r="E37" s="5" t="s">
        <v>41</v>
      </c>
    </row>
    <row r="38" spans="1:5">
      <c r="A38" s="22"/>
      <c r="E38" s="24" t="s">
        <v>42</v>
      </c>
    </row>
  </sheetData>
  <mergeCells count="7">
    <mergeCell ref="A3:G3"/>
    <mergeCell ref="A4:G4"/>
    <mergeCell ref="A5:G5"/>
    <mergeCell ref="A7:A8"/>
    <mergeCell ref="B7:B8"/>
    <mergeCell ref="C7:E7"/>
    <mergeCell ref="F7:G7"/>
  </mergeCells>
  <pageMargins left="0.64" right="0.7" top="1.98" bottom="0.75" header="0.3" footer="0.3"/>
  <pageSetup paperSize="9" scale="8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225D-EFCF-46C8-BF9C-E22F83DC9E02}">
  <dimension ref="A2:J30"/>
  <sheetViews>
    <sheetView workbookViewId="0">
      <selection activeCell="J7" sqref="J7"/>
    </sheetView>
  </sheetViews>
  <sheetFormatPr defaultRowHeight="12.75"/>
  <cols>
    <col min="1" max="1" width="9.140625" style="33"/>
    <col min="2" max="2" width="31.85546875" style="33" customWidth="1"/>
    <col min="3" max="3" width="18.85546875" style="64" customWidth="1"/>
    <col min="4" max="4" width="33.85546875" style="33" customWidth="1"/>
    <col min="5" max="5" width="17.42578125" style="64" customWidth="1"/>
    <col min="6" max="6" width="18.7109375" style="64" customWidth="1"/>
    <col min="7" max="7" width="17.7109375" style="64" customWidth="1"/>
    <col min="8" max="8" width="17.85546875" style="64" customWidth="1"/>
    <col min="9" max="9" width="30.85546875" style="78" customWidth="1"/>
    <col min="10" max="10" width="22.85546875" style="77" customWidth="1"/>
    <col min="11" max="16384" width="9.140625" style="34"/>
  </cols>
  <sheetData>
    <row r="2" spans="1:10" ht="18" customHeight="1">
      <c r="A2" s="152" t="s">
        <v>103</v>
      </c>
      <c r="B2" s="152"/>
      <c r="C2" s="152"/>
      <c r="D2" s="152"/>
      <c r="E2" s="152"/>
      <c r="F2" s="152"/>
      <c r="G2" s="152"/>
      <c r="H2" s="152"/>
      <c r="I2" s="152"/>
    </row>
    <row r="4" spans="1:10" ht="15" customHeight="1">
      <c r="A4" s="151" t="s">
        <v>104</v>
      </c>
      <c r="B4" s="151" t="s">
        <v>105</v>
      </c>
      <c r="C4" s="150" t="s">
        <v>106</v>
      </c>
      <c r="D4" s="151" t="s">
        <v>107</v>
      </c>
      <c r="E4" s="150" t="s">
        <v>108</v>
      </c>
      <c r="F4" s="150"/>
      <c r="G4" s="150"/>
      <c r="H4" s="150"/>
      <c r="I4" s="150"/>
      <c r="J4" s="151" t="s">
        <v>0</v>
      </c>
    </row>
    <row r="5" spans="1:10" s="33" customFormat="1" ht="69.75" customHeight="1">
      <c r="A5" s="151"/>
      <c r="B5" s="151"/>
      <c r="C5" s="150"/>
      <c r="D5" s="151"/>
      <c r="E5" s="73" t="s">
        <v>112</v>
      </c>
      <c r="F5" s="73" t="s">
        <v>117</v>
      </c>
      <c r="G5" s="73" t="s">
        <v>113</v>
      </c>
      <c r="H5" s="73" t="s">
        <v>116</v>
      </c>
      <c r="I5" s="73" t="s">
        <v>120</v>
      </c>
      <c r="J5" s="151"/>
    </row>
    <row r="6" spans="1:10" ht="12.75" customHeight="1">
      <c r="A6" s="149" t="s">
        <v>109</v>
      </c>
      <c r="B6" s="149"/>
      <c r="C6" s="149"/>
      <c r="D6" s="149"/>
      <c r="E6" s="149"/>
      <c r="F6" s="149"/>
      <c r="G6" s="149"/>
      <c r="H6" s="149"/>
      <c r="I6" s="149"/>
      <c r="J6" s="149"/>
    </row>
    <row r="7" spans="1:10" ht="38.25">
      <c r="A7" s="32">
        <v>1</v>
      </c>
      <c r="B7" s="32" t="s">
        <v>110</v>
      </c>
      <c r="C7" s="74">
        <v>46076</v>
      </c>
      <c r="D7" s="32" t="s">
        <v>56</v>
      </c>
      <c r="E7" s="74">
        <v>46049</v>
      </c>
      <c r="F7" s="74">
        <v>46050</v>
      </c>
      <c r="G7" s="74" t="s">
        <v>114</v>
      </c>
      <c r="H7" s="74">
        <v>46057</v>
      </c>
      <c r="I7" s="31" t="s">
        <v>92</v>
      </c>
      <c r="J7" s="76"/>
    </row>
    <row r="8" spans="1:10" ht="30">
      <c r="A8" s="32">
        <v>2</v>
      </c>
      <c r="B8" s="32" t="s">
        <v>111</v>
      </c>
      <c r="C8" s="74">
        <v>46079</v>
      </c>
      <c r="D8" s="32" t="s">
        <v>59</v>
      </c>
      <c r="E8" s="74">
        <v>46064</v>
      </c>
      <c r="F8" s="74">
        <v>46065</v>
      </c>
      <c r="G8" s="74">
        <v>46069</v>
      </c>
      <c r="H8" s="74">
        <v>46069</v>
      </c>
      <c r="I8" s="31" t="s">
        <v>93</v>
      </c>
      <c r="J8" s="76"/>
    </row>
    <row r="9" spans="1:10">
      <c r="A9" s="149" t="s">
        <v>30</v>
      </c>
      <c r="B9" s="149"/>
      <c r="C9" s="149"/>
      <c r="D9" s="149"/>
      <c r="E9" s="149"/>
      <c r="F9" s="149"/>
      <c r="G9" s="149"/>
      <c r="H9" s="149"/>
      <c r="I9" s="149"/>
      <c r="J9" s="149"/>
    </row>
    <row r="10" spans="1:10" ht="51">
      <c r="A10" s="32">
        <v>3</v>
      </c>
      <c r="B10" s="32" t="s">
        <v>115</v>
      </c>
      <c r="C10" s="74" t="s">
        <v>80</v>
      </c>
      <c r="D10" s="32" t="s">
        <v>81</v>
      </c>
      <c r="E10" s="74">
        <v>46058</v>
      </c>
      <c r="F10" s="74">
        <v>46062</v>
      </c>
      <c r="G10" s="74" t="s">
        <v>114</v>
      </c>
      <c r="H10" s="74">
        <v>46069</v>
      </c>
      <c r="I10" s="31" t="s">
        <v>91</v>
      </c>
      <c r="J10" s="76"/>
    </row>
    <row r="11" spans="1:10" ht="63.75">
      <c r="A11" s="32">
        <v>4</v>
      </c>
      <c r="B11" s="32" t="s">
        <v>119</v>
      </c>
      <c r="C11" s="75">
        <v>46087</v>
      </c>
      <c r="D11" s="32" t="s">
        <v>118</v>
      </c>
      <c r="E11" s="74">
        <v>46073</v>
      </c>
      <c r="F11" s="74">
        <v>46073</v>
      </c>
      <c r="G11" s="74" t="s">
        <v>114</v>
      </c>
      <c r="H11" s="74"/>
      <c r="I11" s="31" t="s">
        <v>96</v>
      </c>
      <c r="J11" s="76" t="s">
        <v>127</v>
      </c>
    </row>
    <row r="12" spans="1:10" ht="38.25">
      <c r="A12" s="32">
        <v>5</v>
      </c>
      <c r="B12" s="32" t="s">
        <v>22</v>
      </c>
      <c r="C12" s="74">
        <v>46093</v>
      </c>
      <c r="D12" s="32" t="s">
        <v>94</v>
      </c>
      <c r="E12" s="74">
        <v>46069</v>
      </c>
      <c r="F12" s="74">
        <v>46071</v>
      </c>
      <c r="G12" s="74">
        <v>46076</v>
      </c>
      <c r="H12" s="74">
        <v>46076</v>
      </c>
      <c r="I12" s="31" t="s">
        <v>95</v>
      </c>
      <c r="J12" s="76"/>
    </row>
    <row r="13" spans="1:10" ht="45">
      <c r="A13" s="32">
        <v>6</v>
      </c>
      <c r="B13" s="32" t="s">
        <v>100</v>
      </c>
      <c r="C13" s="74" t="s">
        <v>85</v>
      </c>
      <c r="D13" s="32" t="s">
        <v>99</v>
      </c>
      <c r="E13" s="74">
        <v>46058</v>
      </c>
      <c r="F13" s="74">
        <v>46062</v>
      </c>
      <c r="G13" s="74" t="s">
        <v>114</v>
      </c>
      <c r="H13" s="74">
        <v>46076</v>
      </c>
      <c r="I13" s="31" t="s">
        <v>97</v>
      </c>
      <c r="J13" s="76"/>
    </row>
    <row r="14" spans="1:10">
      <c r="A14" s="149" t="s">
        <v>31</v>
      </c>
      <c r="B14" s="149"/>
      <c r="C14" s="149"/>
      <c r="D14" s="149"/>
      <c r="E14" s="149"/>
      <c r="F14" s="149"/>
      <c r="G14" s="149"/>
      <c r="H14" s="149"/>
      <c r="I14" s="149"/>
      <c r="J14" s="149"/>
    </row>
    <row r="15" spans="1:10" ht="30">
      <c r="A15" s="32">
        <v>7</v>
      </c>
      <c r="B15" s="32" t="s">
        <v>121</v>
      </c>
      <c r="C15" s="74">
        <v>46135</v>
      </c>
      <c r="D15" s="32" t="s">
        <v>122</v>
      </c>
      <c r="E15" s="74">
        <v>46064</v>
      </c>
      <c r="F15" s="74">
        <v>46065</v>
      </c>
      <c r="G15" s="74">
        <v>46073</v>
      </c>
      <c r="H15" s="74">
        <v>46073</v>
      </c>
      <c r="I15" s="31" t="s">
        <v>123</v>
      </c>
      <c r="J15" s="76"/>
    </row>
    <row r="16" spans="1:10">
      <c r="A16" s="149" t="s">
        <v>124</v>
      </c>
      <c r="B16" s="149"/>
      <c r="C16" s="149"/>
      <c r="D16" s="149"/>
      <c r="E16" s="149"/>
      <c r="F16" s="149"/>
      <c r="G16" s="149"/>
      <c r="H16" s="149"/>
      <c r="I16" s="149"/>
      <c r="J16" s="149"/>
    </row>
    <row r="17" spans="1:10" ht="38.25">
      <c r="A17" s="32">
        <v>8</v>
      </c>
      <c r="B17" s="32" t="s">
        <v>25</v>
      </c>
      <c r="C17" s="74">
        <v>46148</v>
      </c>
      <c r="D17" s="32" t="s">
        <v>125</v>
      </c>
      <c r="E17" s="74">
        <v>46071</v>
      </c>
      <c r="F17" s="74">
        <v>46072</v>
      </c>
      <c r="G17" s="74" t="s">
        <v>114</v>
      </c>
      <c r="H17" s="74"/>
      <c r="I17" s="31" t="s">
        <v>126</v>
      </c>
      <c r="J17" s="76" t="s">
        <v>128</v>
      </c>
    </row>
    <row r="18" spans="1:10">
      <c r="A18" s="32"/>
      <c r="B18" s="32"/>
      <c r="C18" s="74"/>
      <c r="D18" s="32"/>
      <c r="E18" s="74"/>
      <c r="F18" s="74"/>
      <c r="G18" s="74"/>
      <c r="H18" s="74"/>
      <c r="I18" s="45"/>
      <c r="J18" s="76"/>
    </row>
    <row r="19" spans="1:10">
      <c r="A19" s="32"/>
      <c r="B19" s="32"/>
      <c r="C19" s="74"/>
      <c r="D19" s="32"/>
      <c r="E19" s="74"/>
      <c r="F19" s="74"/>
      <c r="G19" s="74"/>
      <c r="H19" s="74"/>
      <c r="I19" s="45"/>
      <c r="J19" s="76"/>
    </row>
    <row r="20" spans="1:10">
      <c r="A20" s="32"/>
      <c r="B20" s="32"/>
      <c r="C20" s="74"/>
      <c r="D20" s="32"/>
      <c r="E20" s="74"/>
      <c r="F20" s="74"/>
      <c r="G20" s="74"/>
      <c r="H20" s="74"/>
      <c r="I20" s="45"/>
      <c r="J20" s="76"/>
    </row>
    <row r="21" spans="1:10">
      <c r="A21" s="32"/>
      <c r="B21" s="32"/>
      <c r="C21" s="74"/>
      <c r="D21" s="32"/>
      <c r="E21" s="74"/>
      <c r="F21" s="74"/>
      <c r="G21" s="74"/>
      <c r="H21" s="74"/>
      <c r="I21" s="45"/>
      <c r="J21" s="76"/>
    </row>
    <row r="22" spans="1:10">
      <c r="A22" s="32"/>
      <c r="B22" s="32"/>
      <c r="C22" s="74"/>
      <c r="D22" s="32"/>
      <c r="E22" s="74"/>
      <c r="F22" s="74"/>
      <c r="G22" s="74"/>
      <c r="H22" s="74"/>
      <c r="I22" s="45"/>
      <c r="J22" s="76"/>
    </row>
    <row r="23" spans="1:10">
      <c r="A23" s="32"/>
      <c r="B23" s="32"/>
      <c r="C23" s="74"/>
      <c r="D23" s="32"/>
      <c r="E23" s="74"/>
      <c r="F23" s="74"/>
      <c r="G23" s="74"/>
      <c r="H23" s="74"/>
      <c r="I23" s="45"/>
      <c r="J23" s="76"/>
    </row>
    <row r="24" spans="1:10">
      <c r="A24" s="32"/>
      <c r="B24" s="32"/>
      <c r="C24" s="74"/>
      <c r="D24" s="32"/>
      <c r="E24" s="74"/>
      <c r="F24" s="74"/>
      <c r="G24" s="74"/>
      <c r="H24" s="74"/>
      <c r="I24" s="45"/>
      <c r="J24" s="76"/>
    </row>
    <row r="25" spans="1:10">
      <c r="A25" s="32"/>
      <c r="B25" s="32"/>
      <c r="C25" s="74"/>
      <c r="D25" s="32"/>
      <c r="E25" s="74"/>
      <c r="F25" s="74"/>
      <c r="G25" s="74"/>
      <c r="H25" s="74"/>
      <c r="I25" s="45"/>
      <c r="J25" s="76"/>
    </row>
    <row r="26" spans="1:10">
      <c r="A26" s="32"/>
      <c r="B26" s="32"/>
      <c r="C26" s="74"/>
      <c r="D26" s="32"/>
      <c r="E26" s="74"/>
      <c r="F26" s="74"/>
      <c r="G26" s="74"/>
      <c r="H26" s="74"/>
      <c r="I26" s="45"/>
      <c r="J26" s="76"/>
    </row>
    <row r="27" spans="1:10">
      <c r="A27" s="32"/>
      <c r="B27" s="32"/>
      <c r="C27" s="74"/>
      <c r="D27" s="32"/>
      <c r="E27" s="74"/>
      <c r="F27" s="74"/>
      <c r="G27" s="74"/>
      <c r="H27" s="74"/>
      <c r="I27" s="45"/>
      <c r="J27" s="76"/>
    </row>
    <row r="28" spans="1:10">
      <c r="A28" s="32"/>
      <c r="B28" s="32"/>
      <c r="C28" s="74"/>
      <c r="D28" s="32"/>
      <c r="E28" s="74"/>
      <c r="F28" s="74"/>
      <c r="G28" s="74"/>
      <c r="H28" s="74"/>
      <c r="I28" s="45"/>
      <c r="J28" s="76"/>
    </row>
    <row r="29" spans="1:10">
      <c r="A29" s="32"/>
      <c r="B29" s="32"/>
      <c r="C29" s="74"/>
      <c r="D29" s="32"/>
      <c r="E29" s="74"/>
      <c r="F29" s="74"/>
      <c r="G29" s="74"/>
      <c r="H29" s="74"/>
      <c r="I29" s="45"/>
      <c r="J29" s="76"/>
    </row>
    <row r="30" spans="1:10">
      <c r="A30" s="32"/>
      <c r="B30" s="32"/>
      <c r="C30" s="74"/>
      <c r="D30" s="32"/>
      <c r="E30" s="74"/>
      <c r="F30" s="74"/>
      <c r="G30" s="74"/>
      <c r="H30" s="74"/>
      <c r="I30" s="45"/>
      <c r="J30" s="76"/>
    </row>
  </sheetData>
  <mergeCells count="11">
    <mergeCell ref="A2:I2"/>
    <mergeCell ref="J4:J5"/>
    <mergeCell ref="A6:J6"/>
    <mergeCell ref="A9:J9"/>
    <mergeCell ref="A14:J14"/>
    <mergeCell ref="A16:J16"/>
    <mergeCell ref="E4:I4"/>
    <mergeCell ref="A4:A5"/>
    <mergeCell ref="B4:B5"/>
    <mergeCell ref="C4:C5"/>
    <mergeCell ref="D4:D5"/>
  </mergeCells>
  <hyperlinks>
    <hyperlink ref="I7" r:id="rId1" xr:uid="{9EC1A4C8-AEFC-45DB-AD07-5183A69C1286}"/>
    <hyperlink ref="I8" r:id="rId2" xr:uid="{28AF661D-3E88-4857-ABDB-6EA1CFDF3733}"/>
    <hyperlink ref="I10" r:id="rId3" xr:uid="{DA801F7C-D19B-400B-9A71-001B1C530993}"/>
    <hyperlink ref="I11" r:id="rId4" xr:uid="{10F2EA43-6CE6-421C-B75E-A9CEC49A1551}"/>
    <hyperlink ref="I12" r:id="rId5" xr:uid="{C3D3644A-EF85-495B-84F8-93BB04F122BC}"/>
    <hyperlink ref="I13" r:id="rId6" xr:uid="{B7498A60-7483-494A-9B17-C6C527BB421B}"/>
    <hyperlink ref="I15" r:id="rId7" xr:uid="{949B46B8-E6E5-4D3C-BCBF-D1F0B2A7B6B7}"/>
    <hyperlink ref="I17" r:id="rId8" xr:uid="{B68D0B51-5CE8-48C6-8382-56416601A1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65C1-6343-4EC9-8A75-873F275E5C22}">
  <sheetPr>
    <pageSetUpPr fitToPage="1"/>
  </sheetPr>
  <dimension ref="A10:Q31"/>
  <sheetViews>
    <sheetView topLeftCell="A7" workbookViewId="0">
      <selection activeCell="A17" sqref="A17:A20"/>
    </sheetView>
  </sheetViews>
  <sheetFormatPr defaultColWidth="8.85546875" defaultRowHeight="14.25"/>
  <cols>
    <col min="1" max="1" width="22.42578125" style="82" customWidth="1"/>
    <col min="2" max="2" width="14.85546875" style="82" customWidth="1"/>
    <col min="3" max="3" width="29.140625" style="1" customWidth="1"/>
    <col min="4" max="4" width="29.28515625" style="1" customWidth="1"/>
    <col min="5" max="5" width="14.5703125" style="6" customWidth="1"/>
    <col min="6" max="6" width="9" style="1" customWidth="1"/>
    <col min="7" max="8" width="9.7109375" style="1" customWidth="1"/>
    <col min="9" max="9" width="9" style="1" customWidth="1"/>
    <col min="10" max="10" width="10" style="1" customWidth="1"/>
    <col min="11" max="11" width="9.7109375" style="1" customWidth="1"/>
    <col min="12" max="12" width="15.140625" style="1" customWidth="1"/>
    <col min="13" max="13" width="12.28515625" style="1" customWidth="1"/>
    <col min="14" max="14" width="11.28515625" style="1" customWidth="1"/>
    <col min="15" max="15" width="17.5703125" style="82" customWidth="1"/>
    <col min="16" max="16" width="21.28515625" style="82" customWidth="1"/>
    <col min="17" max="17" width="20.5703125" style="2" customWidth="1"/>
    <col min="18" max="16384" width="8.85546875" style="2"/>
  </cols>
  <sheetData>
    <row r="10" spans="1:16" ht="19.5">
      <c r="A10" s="139" t="s">
        <v>20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</row>
    <row r="11" spans="1:16" ht="19.5">
      <c r="A11" s="139" t="s">
        <v>51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</row>
    <row r="13" spans="1:16" ht="72" customHeight="1">
      <c r="A13" s="140" t="s">
        <v>21</v>
      </c>
      <c r="B13" s="140" t="s">
        <v>130</v>
      </c>
      <c r="C13" s="140" t="s">
        <v>12</v>
      </c>
      <c r="D13" s="140" t="s">
        <v>57</v>
      </c>
      <c r="E13" s="123" t="s">
        <v>129</v>
      </c>
      <c r="F13" s="126" t="s">
        <v>5</v>
      </c>
      <c r="G13" s="126"/>
      <c r="H13" s="126"/>
      <c r="I13" s="124" t="s">
        <v>52</v>
      </c>
      <c r="J13" s="124"/>
      <c r="K13" s="124"/>
      <c r="L13" s="125" t="s">
        <v>7</v>
      </c>
      <c r="M13" s="125"/>
      <c r="N13" s="125"/>
      <c r="O13" s="120" t="s">
        <v>0</v>
      </c>
      <c r="P13" s="121"/>
    </row>
    <row r="14" spans="1:16" ht="51">
      <c r="A14" s="140"/>
      <c r="B14" s="140"/>
      <c r="C14" s="140"/>
      <c r="D14" s="140"/>
      <c r="E14" s="123"/>
      <c r="F14" s="42" t="s">
        <v>6</v>
      </c>
      <c r="G14" s="42" t="s">
        <v>3</v>
      </c>
      <c r="H14" s="42" t="s">
        <v>10</v>
      </c>
      <c r="I14" s="43" t="s">
        <v>6</v>
      </c>
      <c r="J14" s="43" t="s">
        <v>3</v>
      </c>
      <c r="K14" s="43" t="s">
        <v>10</v>
      </c>
      <c r="L14" s="44" t="s">
        <v>8</v>
      </c>
      <c r="M14" s="44" t="s">
        <v>9</v>
      </c>
      <c r="N14" s="44" t="s">
        <v>10</v>
      </c>
      <c r="O14" s="7" t="s">
        <v>63</v>
      </c>
      <c r="P14" s="7" t="s">
        <v>62</v>
      </c>
    </row>
    <row r="15" spans="1:16" ht="57">
      <c r="A15" s="79" t="s">
        <v>58</v>
      </c>
      <c r="B15" s="80">
        <v>46076</v>
      </c>
      <c r="C15" s="79" t="s">
        <v>56</v>
      </c>
      <c r="D15" s="79" t="s">
        <v>1</v>
      </c>
      <c r="E15" s="89">
        <v>1</v>
      </c>
      <c r="F15" s="90">
        <f>8+7+5</f>
        <v>20</v>
      </c>
      <c r="G15" s="90">
        <f>3+2+3</f>
        <v>8</v>
      </c>
      <c r="H15" s="91">
        <f>F15+G15</f>
        <v>28</v>
      </c>
      <c r="I15" s="92">
        <v>20</v>
      </c>
      <c r="J15" s="92">
        <v>8</v>
      </c>
      <c r="K15" s="93">
        <f>I15+J15</f>
        <v>28</v>
      </c>
      <c r="L15" s="94">
        <v>1</v>
      </c>
      <c r="M15" s="94"/>
      <c r="N15" s="95">
        <f>L15+M15</f>
        <v>1</v>
      </c>
      <c r="O15" s="101" t="s">
        <v>65</v>
      </c>
      <c r="P15" s="102" t="s">
        <v>75</v>
      </c>
    </row>
    <row r="16" spans="1:16" s="104" customFormat="1" ht="15">
      <c r="A16" s="119" t="s">
        <v>14</v>
      </c>
      <c r="B16" s="119"/>
      <c r="C16" s="119"/>
      <c r="D16" s="119"/>
      <c r="E16" s="96">
        <f>E15</f>
        <v>1</v>
      </c>
      <c r="F16" s="91">
        <f>F15</f>
        <v>20</v>
      </c>
      <c r="G16" s="91">
        <f t="shared" ref="G16:H16" si="0">G15</f>
        <v>8</v>
      </c>
      <c r="H16" s="91">
        <f t="shared" si="0"/>
        <v>28</v>
      </c>
      <c r="I16" s="93">
        <f>I15</f>
        <v>20</v>
      </c>
      <c r="J16" s="93">
        <f t="shared" ref="J16:K16" si="1">J15</f>
        <v>8</v>
      </c>
      <c r="K16" s="93">
        <f t="shared" si="1"/>
        <v>28</v>
      </c>
      <c r="L16" s="95">
        <f>L15</f>
        <v>1</v>
      </c>
      <c r="M16" s="95">
        <f t="shared" ref="M16:N16" si="2">M15</f>
        <v>0</v>
      </c>
      <c r="N16" s="95">
        <f t="shared" si="2"/>
        <v>1</v>
      </c>
      <c r="O16" s="103"/>
      <c r="P16" s="81"/>
    </row>
    <row r="17" spans="1:17" ht="36" customHeight="1">
      <c r="A17" s="127" t="s">
        <v>60</v>
      </c>
      <c r="B17" s="128">
        <v>46079</v>
      </c>
      <c r="C17" s="127" t="s">
        <v>59</v>
      </c>
      <c r="D17" s="79" t="s">
        <v>1</v>
      </c>
      <c r="E17" s="129">
        <v>1</v>
      </c>
      <c r="F17" s="133">
        <v>24</v>
      </c>
      <c r="G17" s="133">
        <v>22</v>
      </c>
      <c r="H17" s="136">
        <f>F17+G17</f>
        <v>46</v>
      </c>
      <c r="I17" s="92">
        <v>23</v>
      </c>
      <c r="J17" s="92">
        <v>14</v>
      </c>
      <c r="K17" s="93">
        <f>I17+J17</f>
        <v>37</v>
      </c>
      <c r="L17" s="94">
        <v>1</v>
      </c>
      <c r="M17" s="94"/>
      <c r="N17" s="95">
        <f t="shared" ref="N17:N20" si="3">L17+M17</f>
        <v>1</v>
      </c>
      <c r="O17" s="130" t="s">
        <v>66</v>
      </c>
      <c r="P17" s="102" t="s">
        <v>76</v>
      </c>
    </row>
    <row r="18" spans="1:17" ht="35.25" customHeight="1">
      <c r="A18" s="127"/>
      <c r="B18" s="128"/>
      <c r="C18" s="127"/>
      <c r="D18" s="79" t="s">
        <v>2</v>
      </c>
      <c r="E18" s="129"/>
      <c r="F18" s="134"/>
      <c r="G18" s="134"/>
      <c r="H18" s="137"/>
      <c r="I18" s="92">
        <v>0</v>
      </c>
      <c r="J18" s="92">
        <v>1</v>
      </c>
      <c r="K18" s="93">
        <f t="shared" ref="K18:K19" si="4">I18+J18</f>
        <v>1</v>
      </c>
      <c r="L18" s="94">
        <v>1</v>
      </c>
      <c r="M18" s="94"/>
      <c r="N18" s="95">
        <f t="shared" si="3"/>
        <v>1</v>
      </c>
      <c r="O18" s="131"/>
      <c r="P18" s="102" t="s">
        <v>77</v>
      </c>
    </row>
    <row r="19" spans="1:17" ht="39" customHeight="1">
      <c r="A19" s="127"/>
      <c r="B19" s="128"/>
      <c r="C19" s="127"/>
      <c r="D19" s="79" t="s">
        <v>61</v>
      </c>
      <c r="E19" s="129"/>
      <c r="F19" s="134"/>
      <c r="G19" s="134"/>
      <c r="H19" s="137"/>
      <c r="I19" s="92">
        <v>2</v>
      </c>
      <c r="J19" s="92">
        <v>1</v>
      </c>
      <c r="K19" s="93">
        <f t="shared" si="4"/>
        <v>3</v>
      </c>
      <c r="L19" s="94">
        <v>1</v>
      </c>
      <c r="M19" s="94"/>
      <c r="N19" s="95">
        <f t="shared" si="3"/>
        <v>1</v>
      </c>
      <c r="O19" s="131"/>
      <c r="P19" s="102" t="s">
        <v>78</v>
      </c>
    </row>
    <row r="20" spans="1:17" ht="36" customHeight="1">
      <c r="A20" s="127"/>
      <c r="B20" s="128"/>
      <c r="C20" s="127"/>
      <c r="D20" s="79" t="s">
        <v>26</v>
      </c>
      <c r="E20" s="129"/>
      <c r="F20" s="135"/>
      <c r="G20" s="135"/>
      <c r="H20" s="138"/>
      <c r="I20" s="92">
        <v>5</v>
      </c>
      <c r="J20" s="92">
        <v>9</v>
      </c>
      <c r="K20" s="93">
        <f>I20+J20</f>
        <v>14</v>
      </c>
      <c r="L20" s="94">
        <v>1</v>
      </c>
      <c r="M20" s="94"/>
      <c r="N20" s="95">
        <f t="shared" si="3"/>
        <v>1</v>
      </c>
      <c r="O20" s="132"/>
      <c r="P20" s="102" t="s">
        <v>79</v>
      </c>
    </row>
    <row r="21" spans="1:17" s="104" customFormat="1" ht="15">
      <c r="A21" s="119" t="s">
        <v>14</v>
      </c>
      <c r="B21" s="119"/>
      <c r="C21" s="119"/>
      <c r="D21" s="119"/>
      <c r="E21" s="96">
        <f>E17</f>
        <v>1</v>
      </c>
      <c r="F21" s="91">
        <f>SUM(F17:F20)</f>
        <v>24</v>
      </c>
      <c r="G21" s="91">
        <f t="shared" ref="G21:H21" si="5">SUM(G17:G20)</f>
        <v>22</v>
      </c>
      <c r="H21" s="91">
        <f t="shared" si="5"/>
        <v>46</v>
      </c>
      <c r="I21" s="93">
        <f>SUM(I17:I20)</f>
        <v>30</v>
      </c>
      <c r="J21" s="93">
        <f t="shared" ref="J21:K21" si="6">SUM(J17:J20)</f>
        <v>25</v>
      </c>
      <c r="K21" s="93">
        <f t="shared" si="6"/>
        <v>55</v>
      </c>
      <c r="L21" s="95">
        <f>SUM(L17:L20)</f>
        <v>4</v>
      </c>
      <c r="M21" s="95">
        <f t="shared" ref="M21:N21" si="7">SUM(M17:M20)</f>
        <v>0</v>
      </c>
      <c r="N21" s="95">
        <f t="shared" si="7"/>
        <v>4</v>
      </c>
      <c r="O21" s="103"/>
      <c r="P21" s="81"/>
    </row>
    <row r="22" spans="1:17" s="107" customFormat="1" ht="16.5" customHeight="1">
      <c r="A22" s="122" t="s">
        <v>13</v>
      </c>
      <c r="B22" s="122"/>
      <c r="C22" s="122"/>
      <c r="D22" s="122"/>
      <c r="E22" s="97">
        <f>E16+E21</f>
        <v>2</v>
      </c>
      <c r="F22" s="98">
        <f>F16+F21</f>
        <v>44</v>
      </c>
      <c r="G22" s="98">
        <f t="shared" ref="G22:H22" si="8">G16+G21</f>
        <v>30</v>
      </c>
      <c r="H22" s="98">
        <f t="shared" si="8"/>
        <v>74</v>
      </c>
      <c r="I22" s="99">
        <f>I16+I21</f>
        <v>50</v>
      </c>
      <c r="J22" s="99">
        <f t="shared" ref="J22:K22" si="9">J16+J21</f>
        <v>33</v>
      </c>
      <c r="K22" s="99">
        <f t="shared" si="9"/>
        <v>83</v>
      </c>
      <c r="L22" s="100">
        <f>L16+L21</f>
        <v>5</v>
      </c>
      <c r="M22" s="100">
        <f t="shared" ref="M22:N22" si="10">M16+M21</f>
        <v>0</v>
      </c>
      <c r="N22" s="100">
        <f t="shared" si="10"/>
        <v>5</v>
      </c>
      <c r="O22" s="105"/>
      <c r="P22" s="106"/>
    </row>
    <row r="24" spans="1:17" ht="18">
      <c r="A24" s="115" t="s">
        <v>15</v>
      </c>
      <c r="B24" s="116"/>
      <c r="C24" s="117"/>
      <c r="D24" s="118" t="s">
        <v>53</v>
      </c>
      <c r="F24" s="19"/>
      <c r="O24" s="82" t="s">
        <v>101</v>
      </c>
      <c r="Q24" s="82" t="s">
        <v>102</v>
      </c>
    </row>
    <row r="25" spans="1:17">
      <c r="A25" s="83"/>
      <c r="D25" s="84"/>
      <c r="F25" s="6"/>
      <c r="Q25" s="82"/>
    </row>
    <row r="26" spans="1:17">
      <c r="A26" s="83"/>
      <c r="D26" s="84"/>
      <c r="F26" s="6"/>
      <c r="O26" s="108" t="s">
        <v>24</v>
      </c>
      <c r="Q26" s="82" t="s">
        <v>67</v>
      </c>
    </row>
    <row r="27" spans="1:17" ht="28.5">
      <c r="A27" s="83"/>
      <c r="D27" s="84"/>
      <c r="F27" s="6"/>
      <c r="O27" s="83" t="s">
        <v>19</v>
      </c>
      <c r="Q27" s="82" t="s">
        <v>73</v>
      </c>
    </row>
    <row r="28" spans="1:17" s="3" customFormat="1" ht="18">
      <c r="A28" s="111" t="s">
        <v>16</v>
      </c>
      <c r="B28" s="112"/>
      <c r="C28" s="113"/>
      <c r="D28" s="114" t="s">
        <v>44</v>
      </c>
      <c r="G28" s="85"/>
      <c r="H28" s="85"/>
      <c r="I28" s="85"/>
      <c r="J28" s="85"/>
      <c r="K28" s="85"/>
      <c r="L28" s="85"/>
      <c r="M28" s="85"/>
      <c r="N28" s="85"/>
      <c r="O28" s="108" t="s">
        <v>68</v>
      </c>
      <c r="P28" s="82"/>
      <c r="Q28" s="82" t="s">
        <v>64</v>
      </c>
    </row>
    <row r="29" spans="1:17" s="22" customFormat="1">
      <c r="A29" s="86" t="s">
        <v>17</v>
      </c>
      <c r="B29" s="87"/>
      <c r="D29" s="88" t="s">
        <v>45</v>
      </c>
      <c r="G29" s="87"/>
      <c r="H29" s="87"/>
      <c r="I29" s="87"/>
      <c r="J29" s="87"/>
      <c r="K29" s="87"/>
      <c r="L29" s="87"/>
      <c r="M29" s="87"/>
      <c r="N29" s="87"/>
      <c r="O29" s="108" t="s">
        <v>70</v>
      </c>
      <c r="P29" s="82"/>
      <c r="Q29" s="82" t="s">
        <v>71</v>
      </c>
    </row>
    <row r="30" spans="1:17">
      <c r="D30" s="88" t="s">
        <v>55</v>
      </c>
      <c r="O30" s="108" t="s">
        <v>16</v>
      </c>
      <c r="P30" s="109"/>
      <c r="Q30" s="109" t="s">
        <v>72</v>
      </c>
    </row>
    <row r="31" spans="1:17">
      <c r="D31" s="110"/>
      <c r="O31" s="108" t="s">
        <v>69</v>
      </c>
      <c r="Q31" s="82" t="s">
        <v>66</v>
      </c>
    </row>
  </sheetData>
  <mergeCells count="22">
    <mergeCell ref="A10:N10"/>
    <mergeCell ref="A11:N11"/>
    <mergeCell ref="A13:A14"/>
    <mergeCell ref="B13:B14"/>
    <mergeCell ref="C13:C14"/>
    <mergeCell ref="D13:D14"/>
    <mergeCell ref="A16:D16"/>
    <mergeCell ref="O13:P13"/>
    <mergeCell ref="A21:D21"/>
    <mergeCell ref="A22:D22"/>
    <mergeCell ref="E13:E14"/>
    <mergeCell ref="I13:K13"/>
    <mergeCell ref="L13:N13"/>
    <mergeCell ref="F13:H13"/>
    <mergeCell ref="C17:C20"/>
    <mergeCell ref="B17:B20"/>
    <mergeCell ref="A17:A20"/>
    <mergeCell ref="E17:E20"/>
    <mergeCell ref="O17:O20"/>
    <mergeCell ref="F17:F20"/>
    <mergeCell ref="G17:G20"/>
    <mergeCell ref="H17:H20"/>
  </mergeCells>
  <pageMargins left="0.63" right="0.54" top="0.75" bottom="0.75" header="0.3" footer="0.3"/>
  <pageSetup paperSize="9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C841-4613-48B7-934D-AC7EE018E8F1}">
  <sheetPr>
    <pageSetUpPr fitToPage="1"/>
  </sheetPr>
  <dimension ref="A10:P34"/>
  <sheetViews>
    <sheetView topLeftCell="A7" workbookViewId="0">
      <selection activeCell="O14" sqref="O14:P15"/>
    </sheetView>
  </sheetViews>
  <sheetFormatPr defaultColWidth="8.85546875" defaultRowHeight="12.75"/>
  <cols>
    <col min="1" max="1" width="22.42578125" style="40" customWidth="1"/>
    <col min="2" max="2" width="17.5703125" style="40" customWidth="1"/>
    <col min="3" max="3" width="29.140625" style="33" customWidth="1"/>
    <col min="4" max="4" width="29.28515625" style="33" customWidth="1"/>
    <col min="5" max="5" width="13.5703125" style="64" customWidth="1"/>
    <col min="6" max="6" width="9" style="33" customWidth="1"/>
    <col min="7" max="7" width="8.42578125" style="33" customWidth="1"/>
    <col min="8" max="8" width="9.7109375" style="33" customWidth="1"/>
    <col min="9" max="9" width="9" style="33" customWidth="1"/>
    <col min="10" max="10" width="8.42578125" style="33" customWidth="1"/>
    <col min="11" max="11" width="9.7109375" style="33" customWidth="1"/>
    <col min="12" max="12" width="15.140625" style="33" customWidth="1"/>
    <col min="13" max="13" width="12.28515625" style="33" customWidth="1"/>
    <col min="14" max="14" width="11.28515625" style="33" customWidth="1"/>
    <col min="15" max="15" width="18.28515625" style="40" customWidth="1"/>
    <col min="16" max="16" width="18.7109375" style="40" customWidth="1"/>
    <col min="17" max="16384" width="8.85546875" style="34"/>
  </cols>
  <sheetData>
    <row r="10" spans="1:16">
      <c r="A10" s="166" t="s">
        <v>20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</row>
    <row r="11" spans="1:16">
      <c r="A11" s="167" t="s">
        <v>74</v>
      </c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</row>
    <row r="12" spans="1:16"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4" spans="1:16" ht="51.75" customHeight="1">
      <c r="A14" s="168" t="s">
        <v>21</v>
      </c>
      <c r="B14" s="168" t="s">
        <v>11</v>
      </c>
      <c r="C14" s="168" t="s">
        <v>12</v>
      </c>
      <c r="D14" s="168" t="s">
        <v>57</v>
      </c>
      <c r="E14" s="123" t="s">
        <v>4</v>
      </c>
      <c r="F14" s="169" t="s">
        <v>5</v>
      </c>
      <c r="G14" s="169"/>
      <c r="H14" s="169"/>
      <c r="I14" s="169" t="s">
        <v>52</v>
      </c>
      <c r="J14" s="169"/>
      <c r="K14" s="169"/>
      <c r="L14" s="149" t="s">
        <v>7</v>
      </c>
      <c r="M14" s="149"/>
      <c r="N14" s="149"/>
      <c r="O14" s="153" t="s">
        <v>0</v>
      </c>
      <c r="P14" s="154"/>
    </row>
    <row r="15" spans="1:16" ht="51">
      <c r="A15" s="168"/>
      <c r="B15" s="168"/>
      <c r="C15" s="168"/>
      <c r="D15" s="168"/>
      <c r="E15" s="123"/>
      <c r="F15" s="43" t="s">
        <v>6</v>
      </c>
      <c r="G15" s="43" t="s">
        <v>3</v>
      </c>
      <c r="H15" s="43" t="s">
        <v>10</v>
      </c>
      <c r="I15" s="43" t="s">
        <v>6</v>
      </c>
      <c r="J15" s="43" t="s">
        <v>3</v>
      </c>
      <c r="K15" s="43" t="s">
        <v>10</v>
      </c>
      <c r="L15" s="44" t="s">
        <v>8</v>
      </c>
      <c r="M15" s="44" t="s">
        <v>9</v>
      </c>
      <c r="N15" s="44" t="s">
        <v>10</v>
      </c>
      <c r="O15" s="41" t="s">
        <v>63</v>
      </c>
      <c r="P15" s="41" t="s">
        <v>62</v>
      </c>
    </row>
    <row r="16" spans="1:16" ht="38.25">
      <c r="A16" s="158" t="s">
        <v>84</v>
      </c>
      <c r="B16" s="159" t="s">
        <v>80</v>
      </c>
      <c r="C16" s="158" t="s">
        <v>81</v>
      </c>
      <c r="D16" s="45" t="s">
        <v>82</v>
      </c>
      <c r="E16" s="163">
        <v>1</v>
      </c>
      <c r="F16" s="47"/>
      <c r="G16" s="47"/>
      <c r="H16" s="48">
        <f>F16+G16</f>
        <v>0</v>
      </c>
      <c r="I16" s="47"/>
      <c r="J16" s="47"/>
      <c r="K16" s="48">
        <f>I16+J16</f>
        <v>0</v>
      </c>
      <c r="L16" s="49">
        <v>1</v>
      </c>
      <c r="M16" s="49"/>
      <c r="N16" s="50">
        <f>L16+M16</f>
        <v>1</v>
      </c>
      <c r="O16" s="155" t="s">
        <v>87</v>
      </c>
      <c r="P16" s="32" t="s">
        <v>86</v>
      </c>
    </row>
    <row r="17" spans="1:16" ht="25.5">
      <c r="A17" s="158"/>
      <c r="B17" s="159"/>
      <c r="C17" s="158"/>
      <c r="D17" s="45" t="s">
        <v>2</v>
      </c>
      <c r="E17" s="163"/>
      <c r="F17" s="47"/>
      <c r="G17" s="47"/>
      <c r="H17" s="48">
        <f>F17+G17</f>
        <v>0</v>
      </c>
      <c r="I17" s="47"/>
      <c r="J17" s="47"/>
      <c r="K17" s="48">
        <f>I17+J17</f>
        <v>0</v>
      </c>
      <c r="L17" s="49">
        <v>1</v>
      </c>
      <c r="M17" s="49"/>
      <c r="N17" s="50">
        <f t="shared" ref="N17:N22" si="0">L17+M17</f>
        <v>1</v>
      </c>
      <c r="O17" s="156"/>
      <c r="P17" s="32" t="s">
        <v>88</v>
      </c>
    </row>
    <row r="18" spans="1:16">
      <c r="A18" s="158"/>
      <c r="B18" s="159"/>
      <c r="C18" s="158"/>
      <c r="D18" s="45" t="s">
        <v>23</v>
      </c>
      <c r="E18" s="163"/>
      <c r="F18" s="47"/>
      <c r="G18" s="47"/>
      <c r="H18" s="48">
        <f t="shared" ref="H18:H19" si="1">F18+G18</f>
        <v>0</v>
      </c>
      <c r="I18" s="47"/>
      <c r="J18" s="47"/>
      <c r="K18" s="48">
        <f t="shared" ref="K18:K19" si="2">I18+J18</f>
        <v>0</v>
      </c>
      <c r="L18" s="49">
        <v>1</v>
      </c>
      <c r="M18" s="49"/>
      <c r="N18" s="50">
        <f t="shared" si="0"/>
        <v>1</v>
      </c>
      <c r="O18" s="156"/>
      <c r="P18" s="32" t="s">
        <v>89</v>
      </c>
    </row>
    <row r="19" spans="1:16" ht="25.5">
      <c r="A19" s="158"/>
      <c r="B19" s="159"/>
      <c r="C19" s="158"/>
      <c r="D19" s="45" t="s">
        <v>26</v>
      </c>
      <c r="E19" s="163"/>
      <c r="F19" s="47"/>
      <c r="G19" s="47"/>
      <c r="H19" s="48">
        <f t="shared" si="1"/>
        <v>0</v>
      </c>
      <c r="I19" s="47"/>
      <c r="J19" s="47"/>
      <c r="K19" s="48">
        <f t="shared" si="2"/>
        <v>0</v>
      </c>
      <c r="L19" s="49">
        <v>1</v>
      </c>
      <c r="M19" s="49"/>
      <c r="N19" s="50">
        <f t="shared" si="0"/>
        <v>1</v>
      </c>
      <c r="O19" s="157"/>
      <c r="P19" s="32" t="s">
        <v>90</v>
      </c>
    </row>
    <row r="20" spans="1:16" ht="63.75">
      <c r="A20" s="45" t="s">
        <v>83</v>
      </c>
      <c r="B20" s="35">
        <v>46087</v>
      </c>
      <c r="C20" s="45" t="s">
        <v>118</v>
      </c>
      <c r="D20" s="45"/>
      <c r="E20" s="46">
        <v>1</v>
      </c>
      <c r="F20" s="47"/>
      <c r="G20" s="47"/>
      <c r="H20" s="48"/>
      <c r="I20" s="47"/>
      <c r="J20" s="47"/>
      <c r="K20" s="48"/>
      <c r="L20" s="49"/>
      <c r="M20" s="49"/>
      <c r="N20" s="50"/>
      <c r="O20" s="51"/>
      <c r="P20" s="32"/>
    </row>
    <row r="21" spans="1:16" ht="38.25">
      <c r="A21" s="45" t="s">
        <v>22</v>
      </c>
      <c r="B21" s="35">
        <v>46093</v>
      </c>
      <c r="C21" s="45" t="s">
        <v>94</v>
      </c>
      <c r="D21" s="45"/>
      <c r="E21" s="46">
        <v>1</v>
      </c>
      <c r="F21" s="47"/>
      <c r="G21" s="47"/>
      <c r="H21" s="48"/>
      <c r="I21" s="47"/>
      <c r="J21" s="47"/>
      <c r="K21" s="48"/>
      <c r="L21" s="49"/>
      <c r="M21" s="49"/>
      <c r="N21" s="50"/>
      <c r="O21" s="51" t="s">
        <v>64</v>
      </c>
      <c r="P21" s="32"/>
    </row>
    <row r="22" spans="1:16" ht="75" customHeight="1">
      <c r="A22" s="158" t="s">
        <v>100</v>
      </c>
      <c r="B22" s="159" t="s">
        <v>85</v>
      </c>
      <c r="C22" s="158" t="s">
        <v>99</v>
      </c>
      <c r="D22" s="45" t="s">
        <v>23</v>
      </c>
      <c r="E22" s="160">
        <v>1</v>
      </c>
      <c r="F22" s="47"/>
      <c r="G22" s="47"/>
      <c r="H22" s="48">
        <f>F22+G22</f>
        <v>0</v>
      </c>
      <c r="I22" s="47"/>
      <c r="J22" s="47"/>
      <c r="K22" s="48">
        <f>I22+J22</f>
        <v>0</v>
      </c>
      <c r="L22" s="49">
        <v>1</v>
      </c>
      <c r="M22" s="49"/>
      <c r="N22" s="50">
        <f t="shared" si="0"/>
        <v>1</v>
      </c>
      <c r="O22" s="51" t="s">
        <v>98</v>
      </c>
      <c r="P22" s="32"/>
    </row>
    <row r="23" spans="1:16" ht="25.5">
      <c r="A23" s="158"/>
      <c r="B23" s="159"/>
      <c r="C23" s="158"/>
      <c r="D23" s="45" t="s">
        <v>2</v>
      </c>
      <c r="E23" s="161"/>
      <c r="F23" s="47"/>
      <c r="G23" s="47"/>
      <c r="H23" s="48"/>
      <c r="I23" s="47"/>
      <c r="J23" s="47"/>
      <c r="K23" s="48"/>
      <c r="L23" s="49">
        <v>1</v>
      </c>
      <c r="M23" s="49"/>
      <c r="N23" s="50"/>
      <c r="O23" s="51"/>
      <c r="P23" s="32"/>
    </row>
    <row r="24" spans="1:16" ht="25.5">
      <c r="A24" s="158"/>
      <c r="B24" s="159"/>
      <c r="C24" s="158"/>
      <c r="D24" s="45" t="s">
        <v>26</v>
      </c>
      <c r="E24" s="162"/>
      <c r="F24" s="47"/>
      <c r="G24" s="47"/>
      <c r="H24" s="48"/>
      <c r="I24" s="47"/>
      <c r="J24" s="47"/>
      <c r="K24" s="48"/>
      <c r="L24" s="49">
        <v>1</v>
      </c>
      <c r="M24" s="49"/>
      <c r="N24" s="50"/>
      <c r="O24" s="51"/>
      <c r="P24" s="32"/>
    </row>
    <row r="25" spans="1:16" s="55" customFormat="1">
      <c r="A25" s="164" t="s">
        <v>14</v>
      </c>
      <c r="B25" s="164"/>
      <c r="C25" s="164"/>
      <c r="D25" s="164"/>
      <c r="E25" s="53">
        <f>SUM(E16:E22)</f>
        <v>4</v>
      </c>
      <c r="F25" s="48"/>
      <c r="G25" s="48"/>
      <c r="H25" s="48"/>
      <c r="I25" s="48"/>
      <c r="J25" s="48"/>
      <c r="K25" s="48"/>
      <c r="L25" s="50"/>
      <c r="M25" s="50"/>
      <c r="N25" s="50"/>
      <c r="O25" s="54"/>
      <c r="P25" s="52"/>
    </row>
    <row r="26" spans="1:16" s="61" customFormat="1">
      <c r="A26" s="165" t="s">
        <v>13</v>
      </c>
      <c r="B26" s="165"/>
      <c r="C26" s="165"/>
      <c r="D26" s="165"/>
      <c r="E26" s="56">
        <f t="shared" ref="E26:N26" si="3">E25</f>
        <v>4</v>
      </c>
      <c r="F26" s="57">
        <f t="shared" si="3"/>
        <v>0</v>
      </c>
      <c r="G26" s="57">
        <f t="shared" si="3"/>
        <v>0</v>
      </c>
      <c r="H26" s="57">
        <f t="shared" si="3"/>
        <v>0</v>
      </c>
      <c r="I26" s="57">
        <f t="shared" si="3"/>
        <v>0</v>
      </c>
      <c r="J26" s="57">
        <f t="shared" si="3"/>
        <v>0</v>
      </c>
      <c r="K26" s="57">
        <f t="shared" si="3"/>
        <v>0</v>
      </c>
      <c r="L26" s="58">
        <f t="shared" si="3"/>
        <v>0</v>
      </c>
      <c r="M26" s="58">
        <f t="shared" si="3"/>
        <v>0</v>
      </c>
      <c r="N26" s="58">
        <f t="shared" si="3"/>
        <v>0</v>
      </c>
      <c r="O26" s="59"/>
      <c r="P26" s="60"/>
    </row>
    <row r="28" spans="1:16">
      <c r="A28" s="62" t="s">
        <v>15</v>
      </c>
      <c r="C28" s="63" t="s">
        <v>53</v>
      </c>
      <c r="F28" s="72" t="s">
        <v>40</v>
      </c>
      <c r="O28" s="65"/>
    </row>
    <row r="29" spans="1:16">
      <c r="A29" s="62"/>
      <c r="C29" s="63"/>
      <c r="F29" s="64"/>
      <c r="O29" s="62"/>
    </row>
    <row r="30" spans="1:16">
      <c r="A30" s="62"/>
      <c r="C30" s="63"/>
      <c r="F30" s="64"/>
      <c r="O30" s="65"/>
    </row>
    <row r="31" spans="1:16">
      <c r="A31" s="62"/>
      <c r="C31" s="63"/>
      <c r="F31" s="64"/>
      <c r="O31" s="65"/>
    </row>
    <row r="32" spans="1:16" s="70" customFormat="1">
      <c r="A32" s="66" t="s">
        <v>16</v>
      </c>
      <c r="B32" s="67"/>
      <c r="C32" s="68" t="s">
        <v>44</v>
      </c>
      <c r="D32" s="69"/>
      <c r="F32" s="70" t="s">
        <v>41</v>
      </c>
      <c r="G32" s="69"/>
      <c r="H32" s="69"/>
      <c r="I32" s="69"/>
      <c r="J32" s="69"/>
      <c r="K32" s="69"/>
      <c r="L32" s="69"/>
      <c r="M32" s="69"/>
      <c r="N32" s="69"/>
      <c r="O32" s="65"/>
      <c r="P32" s="71"/>
    </row>
    <row r="33" spans="1:16" s="39" customFormat="1">
      <c r="A33" s="36" t="s">
        <v>17</v>
      </c>
      <c r="B33" s="37"/>
      <c r="C33" s="38" t="s">
        <v>45</v>
      </c>
      <c r="D33" s="37"/>
      <c r="F33" s="39" t="s">
        <v>54</v>
      </c>
      <c r="G33" s="37"/>
      <c r="H33" s="37"/>
      <c r="I33" s="37"/>
      <c r="J33" s="37"/>
      <c r="K33" s="37"/>
      <c r="L33" s="37"/>
      <c r="M33" s="37"/>
      <c r="N33" s="37"/>
      <c r="O33" s="65"/>
      <c r="P33" s="40"/>
    </row>
    <row r="34" spans="1:16">
      <c r="C34" s="38" t="s">
        <v>55</v>
      </c>
    </row>
  </sheetData>
  <mergeCells count="22">
    <mergeCell ref="A10:N10"/>
    <mergeCell ref="A11:N11"/>
    <mergeCell ref="A14:A15"/>
    <mergeCell ref="B14:B15"/>
    <mergeCell ref="C14:C15"/>
    <mergeCell ref="D14:D15"/>
    <mergeCell ref="E14:E15"/>
    <mergeCell ref="F14:H14"/>
    <mergeCell ref="I14:K14"/>
    <mergeCell ref="L14:N14"/>
    <mergeCell ref="A25:D25"/>
    <mergeCell ref="A26:D26"/>
    <mergeCell ref="B16:B19"/>
    <mergeCell ref="C16:C19"/>
    <mergeCell ref="A16:A19"/>
    <mergeCell ref="O14:P14"/>
    <mergeCell ref="O16:O19"/>
    <mergeCell ref="C22:C24"/>
    <mergeCell ref="B22:B24"/>
    <mergeCell ref="A22:A24"/>
    <mergeCell ref="E22:E24"/>
    <mergeCell ref="E16:E19"/>
  </mergeCells>
  <pageMargins left="0.7" right="0.7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MONITORING</vt:lpstr>
      <vt:lpstr>FEB</vt:lpstr>
      <vt:lpstr>MAR</vt:lpstr>
      <vt:lpstr>FEB!Print_Area</vt:lpstr>
      <vt:lpstr>MAR!Print_Area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Charo Lacre</dc:creator>
  <cp:lastModifiedBy>Ajean Torralba</cp:lastModifiedBy>
  <cp:lastPrinted>2026-02-27T05:59:02Z</cp:lastPrinted>
  <dcterms:created xsi:type="dcterms:W3CDTF">2025-02-24T06:35:00Z</dcterms:created>
  <dcterms:modified xsi:type="dcterms:W3CDTF">2026-03-04T08:51:15Z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D4A3D893A2054B0789E8A67C61B1815B_12</vt:lpwstr>
  </property>
  <property fmtid="{D5CDD505-2E9C-101B-9397-08002B2CF9AE}" pid="3" name="KSOProductBuildVer">
    <vt:lpwstr>1033-12.2.0.20326</vt:lpwstr>
  </property>
</Properties>
</file>