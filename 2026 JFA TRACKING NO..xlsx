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MW OFFICE RELATED-Ajean\1. CORE FUNCTIONS\4. MONITORING SUPERVISION OF JOB FAIR ACTIVITIES\2026\JOB FAIR AUTHORITY TRACKING\"/>
    </mc:Choice>
  </mc:AlternateContent>
  <xr:revisionPtr revIDLastSave="0" documentId="13_ncr:1_{EA9866CA-ECE6-4FE4-8331-7CCDF5A904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 OF JFA ISSUED" sheetId="6" r:id="rId1"/>
    <sheet name="JAN" sheetId="3" r:id="rId2"/>
    <sheet name="FEB" sheetId="4" r:id="rId3"/>
    <sheet name="MAR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6" l="1"/>
  <c r="B17" i="6" s="1"/>
  <c r="B5" i="6"/>
</calcChain>
</file>

<file path=xl/sharedStrings.xml><?xml version="1.0" encoding="utf-8"?>
<sst xmlns="http://schemas.openxmlformats.org/spreadsheetml/2006/main" count="115" uniqueCount="67">
  <si>
    <t>JFA NO.</t>
  </si>
  <si>
    <t>AGENCY</t>
  </si>
  <si>
    <t>DATE OF JOB FAIR</t>
  </si>
  <si>
    <t>VENUE OF JOB FAIR</t>
  </si>
  <si>
    <t>AFFIDAVIT OF UNDERTAKING</t>
  </si>
  <si>
    <t>JOB ORDERS</t>
  </si>
  <si>
    <t>REPRESENTATIVE COMPANY ID</t>
  </si>
  <si>
    <t>TERMINAL REPORT</t>
  </si>
  <si>
    <t>REMARKS</t>
  </si>
  <si>
    <t>EAST WEST PLACEMENT CENTER INC.</t>
  </si>
  <si>
    <t>NO.</t>
  </si>
  <si>
    <t>BUT-26-0130-001</t>
  </si>
  <si>
    <t>CITY SOCIAL HALL, PEOPLE'S GOVERNMENT CENTER, CABADBARAN CITY</t>
  </si>
  <si>
    <t>BUT-26-0203-002</t>
  </si>
  <si>
    <t>JENERICK INTERNATIONAL MANPOWER INC.</t>
  </si>
  <si>
    <t>BUT-26-0210-003</t>
  </si>
  <si>
    <t>STAR WORLD INTERNATIONAL MANPOWER &amp; PLACEMENT AGENCY, INC.</t>
  </si>
  <si>
    <t>March 5-6, 2026</t>
  </si>
  <si>
    <t>MUNICIPAL COVERED COURT, SAN JOSE BUILDING COMPOUND, P-4 BRGY. STA. CRUZ, SAN JOSE, PROVINCE OF DINAGAT ISLANDS</t>
  </si>
  <si>
    <t>BUT-26-0212-004</t>
  </si>
  <si>
    <t>MMML RECRUITMENT SERVICES INC.</t>
  </si>
  <si>
    <t>BUT-26-0213-005</t>
  </si>
  <si>
    <t>ROBINSONS MALL BUTUAN, JC. AQUINO AVE., BUTUAN CITY</t>
  </si>
  <si>
    <t>BUT-26-0213-006</t>
  </si>
  <si>
    <t>DIMENSION-ALL MANPOWER INC.</t>
  </si>
  <si>
    <t>BUT-26-0213-007</t>
  </si>
  <si>
    <t>March 19-20, 2026</t>
  </si>
  <si>
    <t>CULTURAL AND SPORTS CENTER, CAGDIANAO, PROVINCE OF DINAGAT ISLANDS</t>
  </si>
  <si>
    <t>BUT-26-0213-008</t>
  </si>
  <si>
    <t>BUT-26-0213-009</t>
  </si>
  <si>
    <t>MYRIAD HUMAN RESOURCES &amp; SERVICES INC.</t>
  </si>
  <si>
    <t>BUT-26-0213-010</t>
  </si>
  <si>
    <t>BUT-26-0216-011</t>
  </si>
  <si>
    <t>SMC MANPOWER AGENCY PHILIPPINES COMPANY</t>
  </si>
  <si>
    <t>BUT-26-0219-012</t>
  </si>
  <si>
    <t>BUT-26-0219-013</t>
  </si>
  <si>
    <t>BUT-26-0220-014</t>
  </si>
  <si>
    <t>AL-ALAMIA INTERNATIONAL MANPOWER SERVICES</t>
  </si>
  <si>
    <t>SMCC QUADRANGLE, ATUPAN ST., BRGY. 4, NASIPIT, AGUSAN DEL NORTE</t>
  </si>
  <si>
    <t>BUT-26-0220-015</t>
  </si>
  <si>
    <t>CSUCC GYMNASIUM, CABADBARAN CITY</t>
  </si>
  <si>
    <t>MONTH</t>
  </si>
  <si>
    <t>TOTAL NO. OF ISSUED JFA</t>
  </si>
  <si>
    <t>SUMMARY OF 2026 JOB FAIR AUTHORITY ISSUED PER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</si>
  <si>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</si>
  <si>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</si>
  <si>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</si>
  <si>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</si>
  <si>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</si>
  <si>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</si>
  <si>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</si>
  <si>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</si>
  <si>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</si>
  <si>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</si>
  <si>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</si>
  <si>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</si>
  <si>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TOTAL:</t>
  </si>
  <si>
    <t>BUT-26-0225-016</t>
  </si>
  <si>
    <t>BUT-26-0225-017</t>
  </si>
  <si>
    <t>MAANYAG INTERNATIONAL MANPOWER CORPORATION</t>
  </si>
  <si>
    <t>March 24-25, 2026</t>
  </si>
  <si>
    <t>MUNICIPAL GYMNASIUM, CAGDIANAO, PROVINCE OF DINAGAT ISLANDS</t>
  </si>
  <si>
    <t>BUT-26-0226-018</t>
  </si>
  <si>
    <t>BUT-26-0227-019</t>
  </si>
  <si>
    <t>DATU LIPUS MAKAPANDONG CULTURAL CENTER, GOVERNOR DEMOCRITO O. PLAZA GOVERNMENT CENTER, PROSPERIDAD, AGUSAN DEL SUR</t>
  </si>
  <si>
    <t>BUT-26-0227-020</t>
  </si>
  <si>
    <t>BUT-26-0304-021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</si>
</sst>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dd\-mmm\-yy;@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charset val="134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0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10" fillId="2" borderId="4" xfId="0" applyNumberFormat="1" applyFont="1" applyFill="1" applyBorder="1" applyAlignment="1">
      <alignment horizontal="center" vertical="center" wrapText="1"/>
    </xf>
    <xf numFmtId="164" fontId="10" fillId="2" borderId="5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C877-C005-4BAD-91BB-831C1607DE2E}">
  <sheetPr codeName="Sheet2"/>
  <dimension ref="A2:B17"/>
  <sheetViews>
    <sheetView tabSelected="1" workbookViewId="0">
      <selection activeCell="H23" sqref="H23"/>
    </sheetView>
  </sheetViews>
  <sheetFormatPr defaultRowHeight="15"/>
  <cols>
    <col min="1" max="1" width="34.85546875" customWidth="1"/>
    <col min="2" max="2" width="19" style="26" customWidth="1"/>
  </cols>
  <sheetData>
    <row r="2" spans="1:2" ht="30.75" customHeight="1">
      <c r="A2" s="43" t="s">
        <v>43</v>
      </c>
      <c r="B2" s="43"/>
    </row>
    <row r="4" spans="1:2" ht="30">
      <c r="A4" s="32" t="s">
        <v>41</v>
      </c>
      <c r="B4" s="33" t="s">
        <v>42</v>
      </c>
    </row>
    <row r="5" spans="1:2">
      <c r="A5" s="31" t="s">
        <v>44</v>
      </c>
      <c r="B5" s="27">
        <f>JAN!A3</f>
        <v>1</v>
      </c>
    </row>
    <row r="6" spans="1:2">
      <c r="A6" s="31" t="s">
        <v>45</v>
      </c>
      <c r="B6" s="27">
        <f>FEB!A21</f>
        <v>19</v>
      </c>
    </row>
    <row r="7" spans="1:2">
      <c r="A7" s="31" t="s">
        <v>46</v>
      </c>
      <c r="B7" s="27"/>
    </row>
    <row r="8" spans="1:2">
      <c r="A8" s="31" t="s">
        <v>47</v>
      </c>
      <c r="B8" s="27"/>
    </row>
    <row r="9" spans="1:2">
      <c r="A9" s="31" t="s">
        <v>48</v>
      </c>
      <c r="B9" s="27"/>
    </row>
    <row r="10" spans="1:2">
      <c r="A10" s="31" t="s">
        <v>49</v>
      </c>
      <c r="B10" s="27"/>
    </row>
    <row r="11" spans="1:2">
      <c r="A11" s="31" t="s">
        <v>50</v>
      </c>
      <c r="B11" s="27"/>
    </row>
    <row r="12" spans="1:2">
      <c r="A12" s="31" t="s">
        <v>51</v>
      </c>
      <c r="B12" s="27"/>
    </row>
    <row r="13" spans="1:2">
      <c r="A13" s="31" t="s">
        <v>52</v>
      </c>
      <c r="B13" s="27"/>
    </row>
    <row r="14" spans="1:2">
      <c r="A14" s="31" t="s">
        <v>53</v>
      </c>
      <c r="B14" s="27"/>
    </row>
    <row r="15" spans="1:2">
      <c r="A15" s="31" t="s">
        <v>54</v>
      </c>
      <c r="B15" s="27"/>
    </row>
    <row r="16" spans="1:2">
      <c r="A16" s="31" t="s">
        <v>55</v>
      </c>
      <c r="B16" s="27"/>
    </row>
    <row r="17" spans="1:2">
      <c r="A17" s="30" t="s">
        <v>56</v>
      </c>
      <c r="B17" s="30">
        <f>SUM(B5:B16)</f>
        <v>20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"/>
  <sheetViews>
    <sheetView workbookViewId="0">
      <pane xSplit="3" ySplit="2" topLeftCell="D3" activePane="bottomRight" state="frozen"/>
      <selection pane="topRight"/>
      <selection pane="bottomLeft"/>
      <selection pane="bottomRight" activeCell="B3" sqref="B3"/>
    </sheetView>
  </sheetViews>
  <sheetFormatPr defaultColWidth="8.85546875" defaultRowHeight="15"/>
  <cols>
    <col min="1" max="1" width="7.42578125" style="3" customWidth="1"/>
    <col min="2" max="2" width="23.5703125" style="1" customWidth="1"/>
    <col min="3" max="3" width="44.85546875" style="2" customWidth="1"/>
    <col min="4" max="4" width="18.85546875" style="3" customWidth="1"/>
    <col min="5" max="5" width="45.85546875" style="1" customWidth="1"/>
    <col min="6" max="6" width="16.7109375" style="4" customWidth="1"/>
    <col min="7" max="7" width="12.28515625" style="4" customWidth="1"/>
    <col min="8" max="9" width="17" style="4" customWidth="1"/>
    <col min="10" max="10" width="20.85546875" style="1" customWidth="1"/>
    <col min="11" max="16384" width="8.85546875" style="5"/>
  </cols>
  <sheetData>
    <row r="1" spans="1:10">
      <c r="A1" s="40" t="s">
        <v>10</v>
      </c>
      <c r="B1" s="41" t="s">
        <v>0</v>
      </c>
      <c r="C1" s="41" t="s">
        <v>1</v>
      </c>
      <c r="D1" s="41" t="s">
        <v>2</v>
      </c>
      <c r="E1" s="41" t="s">
        <v>3</v>
      </c>
      <c r="F1" s="38"/>
      <c r="G1" s="38"/>
      <c r="H1" s="38"/>
      <c r="I1" s="39"/>
      <c r="J1" s="9"/>
    </row>
    <row r="2" spans="1:10" ht="30">
      <c r="A2" s="40"/>
      <c r="B2" s="42"/>
      <c r="C2" s="42"/>
      <c r="D2" s="42"/>
      <c r="E2" s="42"/>
      <c r="F2" s="11" t="s">
        <v>4</v>
      </c>
      <c r="G2" s="11" t="s">
        <v>5</v>
      </c>
      <c r="H2" s="11" t="s">
        <v>6</v>
      </c>
      <c r="I2" s="11" t="s">
        <v>7</v>
      </c>
      <c r="J2" s="10" t="s">
        <v>8</v>
      </c>
    </row>
    <row r="3" spans="1:10" ht="30">
      <c r="A3" s="6">
        <v>1</v>
      </c>
      <c r="B3" s="6" t="s">
        <v>11</v>
      </c>
      <c r="C3" s="7" t="s">
        <v>9</v>
      </c>
      <c r="D3" s="12">
        <v>46076</v>
      </c>
      <c r="E3" s="7" t="s">
        <v>12</v>
      </c>
      <c r="F3" s="8">
        <v>46052</v>
      </c>
      <c r="G3" s="8">
        <v>46052</v>
      </c>
      <c r="H3" s="8"/>
      <c r="I3" s="8"/>
      <c r="J3" s="6"/>
    </row>
    <row r="5" spans="1:10">
      <c r="B5" s="28"/>
      <c r="C5" s="29"/>
    </row>
  </sheetData>
  <mergeCells count="6">
    <mergeCell ref="A1:A2"/>
    <mergeCell ref="F1:I1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EDF1-4D01-4612-BA6D-9CEFD809B3FD}">
  <sheetPr codeName="Sheet3"/>
  <dimension ref="A1:J23"/>
  <sheetViews>
    <sheetView workbookViewId="0">
      <pane xSplit="3" ySplit="2" topLeftCell="D12" activePane="bottomRight" state="frozen"/>
      <selection pane="topRight"/>
      <selection pane="bottomLeft"/>
      <selection pane="bottomRight" activeCell="A21" sqref="A21"/>
    </sheetView>
  </sheetViews>
  <sheetFormatPr defaultColWidth="8.85546875" defaultRowHeight="15"/>
  <cols>
    <col min="1" max="1" width="7.42578125" style="3" customWidth="1"/>
    <col min="2" max="2" width="22.42578125" style="1" customWidth="1"/>
    <col min="3" max="3" width="44.85546875" style="2" customWidth="1"/>
    <col min="4" max="4" width="18.85546875" style="3" customWidth="1"/>
    <col min="5" max="5" width="45.85546875" style="1" customWidth="1"/>
    <col min="6" max="6" width="16.7109375" style="4" customWidth="1"/>
    <col min="7" max="7" width="12.28515625" style="4" customWidth="1"/>
    <col min="8" max="9" width="17" style="4" customWidth="1"/>
    <col min="10" max="10" width="20.85546875" style="1" customWidth="1"/>
    <col min="11" max="16384" width="8.85546875" style="5"/>
  </cols>
  <sheetData>
    <row r="1" spans="1:10">
      <c r="A1" s="40" t="s">
        <v>10</v>
      </c>
      <c r="B1" s="41" t="s">
        <v>0</v>
      </c>
      <c r="C1" s="41" t="s">
        <v>1</v>
      </c>
      <c r="D1" s="41" t="s">
        <v>2</v>
      </c>
      <c r="E1" s="41" t="s">
        <v>3</v>
      </c>
      <c r="F1" s="38"/>
      <c r="G1" s="38"/>
      <c r="H1" s="38"/>
      <c r="I1" s="39"/>
      <c r="J1" s="9"/>
    </row>
    <row r="2" spans="1:10" ht="30">
      <c r="A2" s="40"/>
      <c r="B2" s="42"/>
      <c r="C2" s="42"/>
      <c r="D2" s="42"/>
      <c r="E2" s="42"/>
      <c r="F2" s="11" t="s">
        <v>4</v>
      </c>
      <c r="G2" s="11" t="s">
        <v>5</v>
      </c>
      <c r="H2" s="11" t="s">
        <v>6</v>
      </c>
      <c r="I2" s="11" t="s">
        <v>7</v>
      </c>
      <c r="J2" s="10" t="s">
        <v>8</v>
      </c>
    </row>
    <row r="3" spans="1:10" s="2" customFormat="1" ht="30">
      <c r="A3" s="6">
        <v>1</v>
      </c>
      <c r="B3" s="24" t="s">
        <v>13</v>
      </c>
      <c r="C3" s="7" t="s">
        <v>14</v>
      </c>
      <c r="D3" s="12">
        <v>46076</v>
      </c>
      <c r="E3" s="7" t="s">
        <v>12</v>
      </c>
      <c r="F3" s="16">
        <v>46056</v>
      </c>
      <c r="G3" s="16">
        <v>46056</v>
      </c>
      <c r="H3" s="16">
        <v>46056</v>
      </c>
      <c r="I3" s="8"/>
      <c r="J3" s="6"/>
    </row>
    <row r="4" spans="1:10" s="2" customFormat="1" ht="45">
      <c r="A4" s="6">
        <v>2</v>
      </c>
      <c r="B4" s="24" t="s">
        <v>15</v>
      </c>
      <c r="C4" s="23" t="s">
        <v>16</v>
      </c>
      <c r="D4" s="14" t="s">
        <v>17</v>
      </c>
      <c r="E4" s="25" t="s">
        <v>18</v>
      </c>
      <c r="F4" s="17">
        <v>46063</v>
      </c>
      <c r="G4" s="17">
        <v>46063</v>
      </c>
      <c r="H4" s="17">
        <v>46063</v>
      </c>
      <c r="I4" s="13"/>
      <c r="J4" s="6"/>
    </row>
    <row r="5" spans="1:10" s="2" customFormat="1" ht="45">
      <c r="A5" s="6">
        <v>3</v>
      </c>
      <c r="B5" s="24" t="s">
        <v>19</v>
      </c>
      <c r="C5" s="23" t="s">
        <v>20</v>
      </c>
      <c r="D5" s="14" t="s">
        <v>17</v>
      </c>
      <c r="E5" s="15" t="s">
        <v>18</v>
      </c>
      <c r="F5" s="13">
        <v>46065</v>
      </c>
      <c r="G5" s="13">
        <v>46065</v>
      </c>
      <c r="H5" s="13">
        <v>46065</v>
      </c>
      <c r="I5" s="13"/>
      <c r="J5" s="6"/>
    </row>
    <row r="6" spans="1:10" s="2" customFormat="1" ht="30">
      <c r="A6" s="6">
        <v>4</v>
      </c>
      <c r="B6" s="24" t="s">
        <v>21</v>
      </c>
      <c r="C6" s="23" t="s">
        <v>14</v>
      </c>
      <c r="D6" s="12">
        <v>45714</v>
      </c>
      <c r="E6" s="18" t="s">
        <v>22</v>
      </c>
      <c r="F6" s="13">
        <v>46065</v>
      </c>
      <c r="G6" s="13">
        <v>46065</v>
      </c>
      <c r="H6" s="13">
        <v>46065</v>
      </c>
      <c r="I6" s="13"/>
      <c r="J6" s="6"/>
    </row>
    <row r="7" spans="1:10" s="2" customFormat="1" ht="45">
      <c r="A7" s="6">
        <v>5</v>
      </c>
      <c r="B7" s="24" t="s">
        <v>23</v>
      </c>
      <c r="C7" s="23" t="s">
        <v>24</v>
      </c>
      <c r="D7" s="14" t="s">
        <v>17</v>
      </c>
      <c r="E7" s="15" t="s">
        <v>18</v>
      </c>
      <c r="F7" s="13">
        <v>46065</v>
      </c>
      <c r="G7" s="13">
        <v>46066</v>
      </c>
      <c r="H7" s="13">
        <v>46065</v>
      </c>
      <c r="I7" s="13"/>
      <c r="J7" s="6"/>
    </row>
    <row r="8" spans="1:10" ht="30">
      <c r="A8" s="6">
        <v>6</v>
      </c>
      <c r="B8" s="22" t="s">
        <v>25</v>
      </c>
      <c r="C8" s="23" t="s">
        <v>24</v>
      </c>
      <c r="D8" s="19" t="s">
        <v>26</v>
      </c>
      <c r="E8" s="25" t="s">
        <v>27</v>
      </c>
      <c r="F8" s="13">
        <v>46065</v>
      </c>
      <c r="G8" s="13">
        <v>46066</v>
      </c>
      <c r="H8" s="13">
        <v>46065</v>
      </c>
      <c r="I8" s="13"/>
      <c r="J8" s="6"/>
    </row>
    <row r="9" spans="1:10" ht="30">
      <c r="A9" s="6">
        <v>7</v>
      </c>
      <c r="B9" s="24" t="s">
        <v>28</v>
      </c>
      <c r="C9" s="23" t="s">
        <v>20</v>
      </c>
      <c r="D9" s="12">
        <v>45714</v>
      </c>
      <c r="E9" s="18" t="s">
        <v>22</v>
      </c>
      <c r="F9" s="13">
        <v>46066</v>
      </c>
      <c r="G9" s="13">
        <v>46066</v>
      </c>
      <c r="H9" s="13">
        <v>46066</v>
      </c>
      <c r="I9" s="13"/>
      <c r="J9" s="6"/>
    </row>
    <row r="10" spans="1:10" ht="30">
      <c r="A10" s="6">
        <v>8</v>
      </c>
      <c r="B10" s="24" t="s">
        <v>29</v>
      </c>
      <c r="C10" s="23" t="s">
        <v>30</v>
      </c>
      <c r="D10" s="12">
        <v>45714</v>
      </c>
      <c r="E10" s="18" t="s">
        <v>22</v>
      </c>
      <c r="F10" s="13">
        <v>46066</v>
      </c>
      <c r="G10" s="13">
        <v>46066</v>
      </c>
      <c r="H10" s="13">
        <v>46066</v>
      </c>
      <c r="I10" s="13"/>
      <c r="J10" s="6"/>
    </row>
    <row r="11" spans="1:10" ht="30">
      <c r="A11" s="6">
        <v>9</v>
      </c>
      <c r="B11" s="22" t="s">
        <v>31</v>
      </c>
      <c r="C11" s="23" t="s">
        <v>20</v>
      </c>
      <c r="D11" s="19" t="s">
        <v>26</v>
      </c>
      <c r="E11" s="18" t="s">
        <v>27</v>
      </c>
      <c r="F11" s="13">
        <v>46066</v>
      </c>
      <c r="G11" s="13">
        <v>46066</v>
      </c>
      <c r="H11" s="13">
        <v>46066</v>
      </c>
      <c r="I11" s="13"/>
      <c r="J11" s="6"/>
    </row>
    <row r="12" spans="1:10" ht="45">
      <c r="A12" s="6">
        <v>10</v>
      </c>
      <c r="B12" s="24" t="s">
        <v>32</v>
      </c>
      <c r="C12" s="23" t="s">
        <v>33</v>
      </c>
      <c r="D12" s="14" t="s">
        <v>17</v>
      </c>
      <c r="E12" s="15" t="s">
        <v>18</v>
      </c>
      <c r="F12" s="13">
        <v>46069</v>
      </c>
      <c r="G12" s="13">
        <v>46069</v>
      </c>
      <c r="H12" s="13">
        <v>46069</v>
      </c>
      <c r="I12" s="13"/>
      <c r="J12" s="6"/>
    </row>
    <row r="13" spans="1:10" ht="30">
      <c r="A13" s="6">
        <v>11</v>
      </c>
      <c r="B13" s="24" t="s">
        <v>34</v>
      </c>
      <c r="C13" s="23" t="s">
        <v>33</v>
      </c>
      <c r="D13" s="12">
        <v>45714</v>
      </c>
      <c r="E13" s="18" t="s">
        <v>22</v>
      </c>
      <c r="F13" s="13">
        <v>46072</v>
      </c>
      <c r="G13" s="13">
        <v>46072</v>
      </c>
      <c r="H13" s="13">
        <v>46072</v>
      </c>
      <c r="I13" s="13"/>
      <c r="J13" s="6"/>
    </row>
    <row r="14" spans="1:10" ht="30">
      <c r="A14" s="6">
        <v>12</v>
      </c>
      <c r="B14" s="22" t="s">
        <v>35</v>
      </c>
      <c r="C14" s="23" t="s">
        <v>33</v>
      </c>
      <c r="D14" s="19" t="s">
        <v>26</v>
      </c>
      <c r="E14" s="18" t="s">
        <v>27</v>
      </c>
      <c r="F14" s="13">
        <v>46072</v>
      </c>
      <c r="G14" s="13">
        <v>46072</v>
      </c>
      <c r="H14" s="13">
        <v>46072</v>
      </c>
      <c r="I14" s="13"/>
      <c r="J14" s="6"/>
    </row>
    <row r="15" spans="1:10" ht="30">
      <c r="A15" s="6">
        <v>13</v>
      </c>
      <c r="B15" s="22" t="s">
        <v>36</v>
      </c>
      <c r="C15" s="7" t="s">
        <v>37</v>
      </c>
      <c r="D15" s="21">
        <v>46093</v>
      </c>
      <c r="E15" s="25" t="s">
        <v>38</v>
      </c>
      <c r="F15" s="13">
        <v>46072</v>
      </c>
      <c r="G15" s="13">
        <v>46072</v>
      </c>
      <c r="H15" s="13">
        <v>46072</v>
      </c>
      <c r="I15" s="13"/>
      <c r="J15" s="6"/>
    </row>
    <row r="16" spans="1:10">
      <c r="A16" s="6">
        <v>14</v>
      </c>
      <c r="B16" s="20" t="s">
        <v>39</v>
      </c>
      <c r="C16" s="7" t="s">
        <v>20</v>
      </c>
      <c r="D16" s="21">
        <v>46135</v>
      </c>
      <c r="E16" s="18" t="s">
        <v>40</v>
      </c>
      <c r="F16" s="13">
        <v>46072</v>
      </c>
      <c r="G16" s="13">
        <v>46072</v>
      </c>
      <c r="H16" s="13">
        <v>46072</v>
      </c>
      <c r="I16" s="13"/>
      <c r="J16" s="6"/>
    </row>
    <row r="17" spans="1:10" ht="30">
      <c r="A17" s="6">
        <v>15</v>
      </c>
      <c r="B17" s="34" t="s">
        <v>57</v>
      </c>
      <c r="C17" s="7" t="s">
        <v>14</v>
      </c>
      <c r="D17" s="21">
        <v>46093</v>
      </c>
      <c r="E17" s="25" t="s">
        <v>38</v>
      </c>
      <c r="F17" s="13">
        <v>46077</v>
      </c>
      <c r="G17" s="13">
        <v>46077</v>
      </c>
      <c r="H17" s="13">
        <v>46077</v>
      </c>
      <c r="I17" s="13"/>
      <c r="J17" s="6"/>
    </row>
    <row r="18" spans="1:10" ht="30">
      <c r="A18" s="6">
        <v>16</v>
      </c>
      <c r="B18" s="34" t="s">
        <v>58</v>
      </c>
      <c r="C18" s="7" t="s">
        <v>59</v>
      </c>
      <c r="D18" s="21">
        <v>46093</v>
      </c>
      <c r="E18" s="25" t="s">
        <v>38</v>
      </c>
      <c r="F18" s="13">
        <v>46077</v>
      </c>
      <c r="G18" s="13">
        <v>46077</v>
      </c>
      <c r="H18" s="13">
        <v>46077</v>
      </c>
      <c r="I18" s="13"/>
      <c r="J18" s="6"/>
    </row>
    <row r="19" spans="1:10" ht="30">
      <c r="A19" s="6">
        <v>17</v>
      </c>
      <c r="B19" s="35" t="s">
        <v>62</v>
      </c>
      <c r="C19" s="7" t="s">
        <v>24</v>
      </c>
      <c r="D19" s="19" t="s">
        <v>60</v>
      </c>
      <c r="E19" s="18" t="s">
        <v>61</v>
      </c>
      <c r="F19" s="13">
        <v>46079</v>
      </c>
      <c r="G19" s="13">
        <v>46079</v>
      </c>
      <c r="H19" s="13">
        <v>46079</v>
      </c>
      <c r="I19" s="13"/>
      <c r="J19" s="6"/>
    </row>
    <row r="20" spans="1:10" ht="45">
      <c r="A20" s="6">
        <v>18</v>
      </c>
      <c r="B20" s="36" t="s">
        <v>63</v>
      </c>
      <c r="C20" s="7" t="s">
        <v>14</v>
      </c>
      <c r="D20" s="21">
        <v>46087</v>
      </c>
      <c r="E20" s="37" t="s">
        <v>64</v>
      </c>
      <c r="F20" s="13">
        <v>46079</v>
      </c>
      <c r="G20" s="13">
        <v>46079</v>
      </c>
      <c r="H20" s="13">
        <v>46079</v>
      </c>
      <c r="I20" s="13"/>
      <c r="J20" s="6"/>
    </row>
    <row r="21" spans="1:10" ht="45">
      <c r="A21" s="6">
        <v>19</v>
      </c>
      <c r="B21" s="36" t="s">
        <v>65</v>
      </c>
      <c r="C21" s="7" t="s">
        <v>37</v>
      </c>
      <c r="D21" s="21">
        <v>46087</v>
      </c>
      <c r="E21" s="37" t="s">
        <v>64</v>
      </c>
      <c r="F21" s="13">
        <v>46076</v>
      </c>
      <c r="G21" s="13">
        <v>46076</v>
      </c>
      <c r="H21" s="13">
        <v>46076</v>
      </c>
      <c r="I21" s="13"/>
      <c r="J21" s="6"/>
    </row>
    <row r="23" spans="1:10">
      <c r="B23" s="28"/>
      <c r="C23" s="29"/>
    </row>
  </sheetData>
  <mergeCells count="6">
    <mergeCell ref="F1:I1"/>
    <mergeCell ref="A1:A2"/>
    <mergeCell ref="B1:B2"/>
    <mergeCell ref="C1:C2"/>
    <mergeCell ref="D1:D2"/>
    <mergeCell ref="E1:E2"/>
  </mergeCells>
  <phoneticPr fontId="1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851F-D6EF-460C-827A-DF8AAEE9896F}">
  <sheetPr codeName="Sheet4"/>
  <dimension ref="A1:J23"/>
  <sheetViews>
    <sheetView workbookViewId="0">
      <pane xSplit="3" ySplit="2" topLeftCell="D3" activePane="bottomRight" state="frozen"/>
      <selection pane="topRight"/>
      <selection pane="bottomLeft"/>
      <selection pane="bottomRight" activeCell="C7" sqref="C7"/>
    </sheetView>
  </sheetViews>
  <sheetFormatPr defaultColWidth="8.85546875" defaultRowHeight="15"/>
  <cols>
    <col min="1" max="1" width="7.42578125" style="3" customWidth="1"/>
    <col min="2" max="2" width="22.42578125" style="1" customWidth="1"/>
    <col min="3" max="3" width="44.85546875" style="2" customWidth="1"/>
    <col min="4" max="4" width="18.85546875" style="3" customWidth="1"/>
    <col min="5" max="5" width="45.85546875" style="1" customWidth="1"/>
    <col min="6" max="6" width="16.7109375" style="4" customWidth="1"/>
    <col min="7" max="7" width="12.28515625" style="4" customWidth="1"/>
    <col min="8" max="9" width="17" style="4" customWidth="1"/>
    <col min="10" max="10" width="20.85546875" style="1" customWidth="1"/>
    <col min="11" max="16384" width="8.85546875" style="5"/>
  </cols>
  <sheetData>
    <row r="1" spans="1:10">
      <c r="A1" s="40" t="s">
        <v>10</v>
      </c>
      <c r="B1" s="41" t="s">
        <v>0</v>
      </c>
      <c r="C1" s="41" t="s">
        <v>1</v>
      </c>
      <c r="D1" s="41" t="s">
        <v>2</v>
      </c>
      <c r="E1" s="41" t="s">
        <v>3</v>
      </c>
      <c r="F1" s="38"/>
      <c r="G1" s="38"/>
      <c r="H1" s="38"/>
      <c r="I1" s="39"/>
      <c r="J1" s="9"/>
    </row>
    <row r="2" spans="1:10" ht="30">
      <c r="A2" s="40"/>
      <c r="B2" s="42"/>
      <c r="C2" s="42"/>
      <c r="D2" s="42"/>
      <c r="E2" s="42"/>
      <c r="F2" s="11" t="s">
        <v>4</v>
      </c>
      <c r="G2" s="11" t="s">
        <v>5</v>
      </c>
      <c r="H2" s="11" t="s">
        <v>6</v>
      </c>
      <c r="I2" s="11" t="s">
        <v>7</v>
      </c>
      <c r="J2" s="10" t="s">
        <v>8</v>
      </c>
    </row>
    <row r="3" spans="1:10" s="2" customFormat="1">
      <c r="A3" s="6">
        <v>1</v>
      </c>
      <c r="B3" s="44" t="s">
        <v>66</v>
      </c>
      <c r="C3" s="7"/>
      <c r="D3" s="12"/>
      <c r="E3" s="7"/>
      <c r="F3" s="16"/>
      <c r="G3" s="16"/>
      <c r="H3" s="16"/>
      <c r="I3" s="8"/>
      <c r="J3" s="6"/>
    </row>
    <row r="4" spans="1:10" s="2" customFormat="1">
      <c r="A4" s="6"/>
      <c r="B4" s="24"/>
      <c r="C4" s="23"/>
      <c r="D4" s="14"/>
      <c r="E4" s="25"/>
      <c r="F4" s="17"/>
      <c r="G4" s="17"/>
      <c r="H4" s="17"/>
      <c r="I4" s="13"/>
      <c r="J4" s="6"/>
    </row>
    <row r="5" spans="1:10" s="2" customFormat="1">
      <c r="A5" s="6"/>
      <c r="B5" s="24"/>
      <c r="C5" s="23"/>
      <c r="D5" s="14"/>
      <c r="E5" s="15"/>
      <c r="F5" s="13"/>
      <c r="G5" s="13"/>
      <c r="H5" s="13"/>
      <c r="I5" s="13"/>
      <c r="J5" s="6"/>
    </row>
    <row r="6" spans="1:10" s="2" customFormat="1">
      <c r="A6" s="6"/>
      <c r="B6" s="24"/>
      <c r="C6" s="23"/>
      <c r="D6" s="12"/>
      <c r="E6" s="18"/>
      <c r="F6" s="13"/>
      <c r="G6" s="13"/>
      <c r="H6" s="13"/>
      <c r="I6" s="13"/>
      <c r="J6" s="6"/>
    </row>
    <row r="7" spans="1:10" s="2" customFormat="1">
      <c r="A7" s="6"/>
      <c r="B7" s="24"/>
      <c r="C7" s="23"/>
      <c r="D7" s="14"/>
      <c r="E7" s="15"/>
      <c r="F7" s="13"/>
      <c r="G7" s="13"/>
      <c r="H7" s="13"/>
      <c r="I7" s="13"/>
      <c r="J7" s="6"/>
    </row>
    <row r="8" spans="1:10">
      <c r="A8" s="6"/>
      <c r="B8" s="22"/>
      <c r="C8" s="23"/>
      <c r="D8" s="19"/>
      <c r="E8" s="25"/>
      <c r="F8" s="13"/>
      <c r="G8" s="13"/>
      <c r="H8" s="13"/>
      <c r="I8" s="13"/>
      <c r="J8" s="6"/>
    </row>
    <row r="9" spans="1:10">
      <c r="A9" s="6"/>
      <c r="B9" s="24"/>
      <c r="C9" s="23"/>
      <c r="D9" s="12"/>
      <c r="E9" s="18"/>
      <c r="F9" s="13"/>
      <c r="G9" s="13"/>
      <c r="H9" s="13"/>
      <c r="I9" s="13"/>
      <c r="J9" s="6"/>
    </row>
    <row r="10" spans="1:10">
      <c r="A10" s="6"/>
      <c r="B10" s="24"/>
      <c r="C10" s="23"/>
      <c r="D10" s="12"/>
      <c r="E10" s="18"/>
      <c r="F10" s="13"/>
      <c r="G10" s="13"/>
      <c r="H10" s="13"/>
      <c r="I10" s="13"/>
      <c r="J10" s="6"/>
    </row>
    <row r="11" spans="1:10">
      <c r="A11" s="6"/>
      <c r="B11" s="22"/>
      <c r="C11" s="23"/>
      <c r="D11" s="19"/>
      <c r="E11" s="18"/>
      <c r="F11" s="13"/>
      <c r="G11" s="13"/>
      <c r="H11" s="13"/>
      <c r="I11" s="13"/>
      <c r="J11" s="6"/>
    </row>
    <row r="12" spans="1:10">
      <c r="A12" s="6"/>
      <c r="B12" s="24"/>
      <c r="C12" s="23"/>
      <c r="D12" s="14"/>
      <c r="E12" s="15"/>
      <c r="F12" s="13"/>
      <c r="G12" s="13"/>
      <c r="H12" s="13"/>
      <c r="I12" s="13"/>
      <c r="J12" s="6"/>
    </row>
    <row r="13" spans="1:10">
      <c r="A13" s="6"/>
      <c r="B13" s="24"/>
      <c r="C13" s="23"/>
      <c r="D13" s="12"/>
      <c r="E13" s="18"/>
      <c r="F13" s="13"/>
      <c r="G13" s="13"/>
      <c r="H13" s="13"/>
      <c r="I13" s="13"/>
      <c r="J13" s="6"/>
    </row>
    <row r="14" spans="1:10">
      <c r="A14" s="6"/>
      <c r="B14" s="22"/>
      <c r="C14" s="23"/>
      <c r="D14" s="19"/>
      <c r="E14" s="18"/>
      <c r="F14" s="13"/>
      <c r="G14" s="13"/>
      <c r="H14" s="13"/>
      <c r="I14" s="13"/>
      <c r="J14" s="6"/>
    </row>
    <row r="15" spans="1:10">
      <c r="A15" s="6"/>
      <c r="B15" s="22"/>
      <c r="C15" s="7"/>
      <c r="D15" s="21"/>
      <c r="E15" s="25"/>
      <c r="F15" s="13"/>
      <c r="G15" s="13"/>
      <c r="H15" s="13"/>
      <c r="I15" s="13"/>
      <c r="J15" s="6"/>
    </row>
    <row r="16" spans="1:10">
      <c r="A16" s="6"/>
      <c r="B16" s="20"/>
      <c r="C16" s="7"/>
      <c r="D16" s="21"/>
      <c r="E16" s="18"/>
      <c r="F16" s="13"/>
      <c r="G16" s="13"/>
      <c r="H16" s="13"/>
      <c r="I16" s="13"/>
      <c r="J16" s="6"/>
    </row>
    <row r="17" spans="1:10">
      <c r="A17" s="6"/>
      <c r="B17" s="34"/>
      <c r="C17" s="7"/>
      <c r="D17" s="21"/>
      <c r="E17" s="25"/>
      <c r="F17" s="13"/>
      <c r="G17" s="13"/>
      <c r="H17" s="13"/>
      <c r="I17" s="13"/>
      <c r="J17" s="6"/>
    </row>
    <row r="18" spans="1:10">
      <c r="A18" s="6"/>
      <c r="B18" s="34"/>
      <c r="C18" s="7"/>
      <c r="D18" s="21"/>
      <c r="E18" s="25"/>
      <c r="F18" s="13"/>
      <c r="G18" s="13"/>
      <c r="H18" s="13"/>
      <c r="I18" s="13"/>
      <c r="J18" s="6"/>
    </row>
    <row r="19" spans="1:10">
      <c r="A19" s="6"/>
      <c r="B19" s="35"/>
      <c r="C19" s="7"/>
      <c r="D19" s="19"/>
      <c r="E19" s="18"/>
      <c r="F19" s="13"/>
      <c r="G19" s="13"/>
      <c r="H19" s="13"/>
      <c r="I19" s="13"/>
      <c r="J19" s="6"/>
    </row>
    <row r="20" spans="1:10">
      <c r="A20" s="6"/>
      <c r="B20" s="36"/>
      <c r="C20" s="7"/>
      <c r="D20" s="21"/>
      <c r="E20" s="37"/>
      <c r="F20" s="13"/>
      <c r="G20" s="13"/>
      <c r="H20" s="13"/>
      <c r="I20" s="13"/>
      <c r="J20" s="6"/>
    </row>
    <row r="21" spans="1:10">
      <c r="A21" s="6"/>
      <c r="B21" s="36"/>
      <c r="C21" s="7"/>
      <c r="D21" s="21"/>
      <c r="E21" s="37"/>
      <c r="F21" s="13"/>
      <c r="G21" s="13"/>
      <c r="H21" s="13"/>
      <c r="I21" s="13"/>
      <c r="J21" s="6"/>
    </row>
    <row r="23" spans="1:10">
      <c r="B23" s="28"/>
      <c r="C23" s="29"/>
    </row>
  </sheetData>
  <mergeCells count="6">
    <mergeCell ref="A1:A2"/>
    <mergeCell ref="B1:B2"/>
    <mergeCell ref="C1:C2"/>
    <mergeCell ref="D1:D2"/>
    <mergeCell ref="E1:E2"/>
    <mergeCell ref="F1:I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OF JFA ISSUED</vt:lpstr>
      <vt:lpstr>JAN</vt:lpstr>
      <vt:lpstr>FEB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Charo Lacre</dc:creator>
  <cp:lastModifiedBy>Ajean Torralba</cp:lastModifiedBy>
  <cp:lastPrinted>2025-09-22T02:12:44Z</cp:lastPrinted>
  <dcterms:created xsi:type="dcterms:W3CDTF">2025-02-24T06:35:00Z</dcterms:created>
  <dcterms:modified xsi:type="dcterms:W3CDTF">2026-03-04T08:56:42Z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D4A3D893A2054B0789E8A67C61B1815B_12</vt:lpwstr>
  </property>
  <property fmtid="{D5CDD505-2E9C-101B-9397-08002B2CF9AE}" pid="3" name="KSOProductBuildVer">
    <vt:lpwstr>1033-12.2.0.20326</vt:lpwstr>
  </property>
</Properties>
</file>