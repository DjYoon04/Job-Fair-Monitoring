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DMW OFFICE RELATED-Ajean\1. CORE FUNCTIONS\4. MONITORING SUPERVISION OF JOB FAIR ACTIVITIES\2025\JOB FAIR AUTHORITY (JFA)\"/>
    </mc:Choice>
  </mc:AlternateContent>
  <xr:revisionPtr revIDLastSave="0" documentId="13_ncr:1_{4EC5DFFD-4BEF-4B61-8B63-FFC6B0DE9022}" xr6:coauthVersionLast="47" xr6:coauthVersionMax="47" xr10:uidLastSave="{00000000-0000-0000-0000-000000000000}"/>
  <bookViews>
    <workbookView xWindow="-120" yWindow="-120" windowWidth="29040" windowHeight="15720" xr2:uid="{00000000-000D-0000-FFFF-FFFF00000000}"/>
  </bookViews>
  <sheets>
    <sheet name="SUMMARY" sheetId="17" r:id="rId1"/>
    <sheet name="JAN" sheetId="3" r:id="rId2"/>
    <sheet name="FEB" sheetId="6" r:id="rId3"/>
    <sheet name="MAR" sheetId="7" r:id="rId4"/>
    <sheet name="APR" sheetId="8" r:id="rId5"/>
    <sheet name="MAY" sheetId="9" r:id="rId6"/>
    <sheet name="JUN" sheetId="10" r:id="rId7"/>
    <sheet name="JUL" sheetId="11" r:id="rId8"/>
    <sheet name="AUG" sheetId="12" r:id="rId9"/>
    <sheet name="SEPT" sheetId="13" r:id="rId10"/>
    <sheet name="OCT" sheetId="14" r:id="rId11"/>
    <sheet name="NOV" sheetId="15" r:id="rId12"/>
    <sheet name="DEC" sheetId="1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17" l="1"/>
  <c r="B17" i="17"/>
  <c r="B16" i="17"/>
  <c r="B15" i="17"/>
  <c r="B14" i="17"/>
  <c r="B13" i="17"/>
  <c r="B12" i="17"/>
  <c r="B18" i="17"/>
  <c r="B11" i="17"/>
  <c r="B10" i="17"/>
  <c r="B8" i="17"/>
  <c r="B9" i="17"/>
  <c r="B7" i="17"/>
  <c r="B6" i="17"/>
  <c r="B5" i="17"/>
</calcChain>
</file>

<file path=xl/sharedStrings.xml><?xml version="1.0" encoding="utf-8"?>
<sst xmlns="http://schemas.openxmlformats.org/spreadsheetml/2006/main" count="716" uniqueCount="288">
  <si>
    <t>JFA NO.</t>
  </si>
  <si>
    <t>AGENCY</t>
  </si>
  <si>
    <t>DATE OF JOB FAIR</t>
  </si>
  <si>
    <t>VENUE OF JOB FAIR</t>
  </si>
  <si>
    <t>AVAILABLE JOB ORDERS</t>
  </si>
  <si>
    <t>JOB SITE</t>
  </si>
  <si>
    <t>JOB ORDERS BALANCE</t>
  </si>
  <si>
    <t>REQUIREMENTS AND ATTACHMENTS</t>
  </si>
  <si>
    <t>INVITATION LETTER</t>
  </si>
  <si>
    <t>AFFIDAVIT OF UNDERTAKING</t>
  </si>
  <si>
    <t>JOB ORDERS</t>
  </si>
  <si>
    <t>REPRESENTATIVE COMPANY ID</t>
  </si>
  <si>
    <t>TERMINAL REPORT</t>
  </si>
  <si>
    <t>REMARKS</t>
  </si>
  <si>
    <t>BUT-25-0130-001</t>
  </si>
  <si>
    <t>JENERICK INTERNATIONAL MANPOWER INC.</t>
  </si>
  <si>
    <t>NORTH ATRIUM ROBINSON'S MALL, BUTUAN CITY</t>
  </si>
  <si>
    <t>Assistant Healthcare, Nursing Staff, Therapist Aid, Nurse Enrolled, Aide Nurse, Nurse Staff, Worker Bakery, Painter Building, Secretary, Nurse, Supervisor Marketing, Overseas Procurement</t>
  </si>
  <si>
    <t>United Arab Emirates, China, Qatar, Cyprus, Singapore</t>
  </si>
  <si>
    <t>√</t>
  </si>
  <si>
    <t>BUT-25-0130-002</t>
  </si>
  <si>
    <t>MMML RECRUITMENT SERVICES INC.</t>
  </si>
  <si>
    <t>Cook House Male, Driver House (Male), Salesman, Saleslady, Hairdresser, Driver Family, Driver Family Female, Driver Family Male, Cook Family, Specialist Recruitement, Cook, Nursing Assistant, Nurse Registered, Nurse Licensed Vocational</t>
  </si>
  <si>
    <t>Bahrain, Kuwait, Qatar, Saudi Arabia, United Arab Emirates, United States of America</t>
  </si>
  <si>
    <t>INVITATION LETTER DATE EMAILED</t>
  </si>
  <si>
    <t>AFFIDAVIT OF UNDERTAKING DATE RECEIVED</t>
  </si>
  <si>
    <t>JOB ORDERS DATE RECEIVED</t>
  </si>
  <si>
    <t>REPRESENTATIVE COMPANY ID DATE RECEIVED</t>
  </si>
  <si>
    <t>TERMINAL REPORT DATE RECEIVED</t>
  </si>
  <si>
    <t>BUT-25-0213-003</t>
  </si>
  <si>
    <t>NANSEI TEIKOKU GLOBAL PLACEMENT SERVICES INC.</t>
  </si>
  <si>
    <t>CITY SOCIAL HALL, PEOPLES GOVERNMENT CENTER, CABADBARAN CITY</t>
  </si>
  <si>
    <t>Crane Operator, Rigger, Supervisor, Foreman, Heavy Equipment Operator, Crane Worker, Waitress, Receptionist, Croupiers, Gardener, Experienced Dealer</t>
  </si>
  <si>
    <t>Saudi Arabia, Bahrain, Sri Lanka, Austria</t>
  </si>
  <si>
    <t>BUT-25-0213-004</t>
  </si>
  <si>
    <t>EAST WEST PLACEMENT CENTER INC.</t>
  </si>
  <si>
    <t>General Labour, Construction Worker, Construction Agent, Truck Driver, Concrete Finisher, Workshop Worker, Construction Materials Technician, Cleaner, Nail Care Specialist, Health Club Host, Nurse Staff, Worker Personal Care, Restaurant Worker, Nurse Staff, Female Support, Concrete Worker, Heavy Truck Driver, Heavy Equipment Driver, Supervisor, Pipe Fitter, Technician, Pipe Welder, Crane Operator, Rigging Supervisor, Fabricator-Pipe, Fabricator Structural, Fitter-Instrument, Fitter-Mill Wright, Fitter-Pipe, Technician-Instrument, Welder-Pipe, Supervisor, Inspector</t>
  </si>
  <si>
    <t>Saudi Arabia, Qatar</t>
  </si>
  <si>
    <t>BUT-25-0213-005</t>
  </si>
  <si>
    <t>Waiter, Cleaner, Masseuse, Kitcher Helper, Chef, Physiotherapist, Worker Manufacturing, Worker Loading and Unloading, Driver Family, Nurse Private, Cook, Cartographer, General Cleaner/ Worker, Nurse, Packaging Labor, Shelves Packer, Manager Production, Machine Operator, Assistant Shop, Secretary, Beautician, Therapist Massage, Controller Document, Technician HVAC, Photographer/ Videographer, Manager Operations, Manager Logistics, Accountant, Accountant Operation, Manager Plant &amp; Maintenance, Engineer Gas, Manager Distribution, Manager Sales, Manager Supply, Manager Restaurant, Branch Manager-Grocery Retail, Customer Service Manager- Retail, Manager Risk, Departmental Manager-Grocery Retail, Tailor, Driver Truck, Manager Warehouse, Pharmacist, Technologist Medical, Manager Internal Audit, Chef Production, Sales Manager- Grocery Wholesale, Sales Manager- Hardware, Plant Manager- Food Services, Manager Risk, Customer Service Manager- Wholesales, Manager Inventory Control, Sales Manager- Stationery Supplies, Fleet Manager- Heavy Forklifts, Fleet Manager-Trucks, Customer Service Manager- Retail, Marketing Manager- Grocery, Manager Refrigeration Service, Corporate Accountant, Masseur, Driver Private</t>
  </si>
  <si>
    <t>Saudi Arabia, Slovakia, Bahrain, Qatar, Congo (Democratic Republic), United Arab Emirates, Papua New Guinea, Kuwait</t>
  </si>
  <si>
    <t>BUT-25-0226-006</t>
  </si>
  <si>
    <t>STAR WORLD INTERNATIONAL MANPOWER &amp; PLACEMENT AGENCY, INC.</t>
  </si>
  <si>
    <t>March 13-14, 2025</t>
  </si>
  <si>
    <t>Municipal Covered Court, Brgy. Sta. Cruz, San Jose, Province of Dinagat Island</t>
  </si>
  <si>
    <t>PLACEWELL INTERNATIONAL SERVICES CORPORATION</t>
  </si>
  <si>
    <t>BUT-25-0227-007</t>
  </si>
  <si>
    <t>BUT-25-0319-008</t>
  </si>
  <si>
    <t>MARCH 27-28, 2025</t>
  </si>
  <si>
    <t>Cagdianao Cultural and Sports Center, Cagdianao, Province of Dinagat Islands</t>
  </si>
  <si>
    <t>CSUCC Gymnasium, Cabadbaran City</t>
  </si>
  <si>
    <t>BUT-25-0321-009</t>
  </si>
  <si>
    <t>BUT-25-0324-010</t>
  </si>
  <si>
    <t>BUT-25-0325-011</t>
  </si>
  <si>
    <t>BUT-25-0325-012</t>
  </si>
  <si>
    <t>SMCC Quadrangle, Nasipit, Agusan del Norte</t>
  </si>
  <si>
    <t>none</t>
  </si>
  <si>
    <t>STATUS OF APPLICANTS</t>
  </si>
  <si>
    <t>BUT-25-0325-013</t>
  </si>
  <si>
    <t>BUT-25-0325-014</t>
  </si>
  <si>
    <t>BUT-25-0325-015</t>
  </si>
  <si>
    <t>BUT-25-0325-016</t>
  </si>
  <si>
    <t>STATUS OF APPLICANTS DATE RECEIVED</t>
  </si>
  <si>
    <t>Was not able to attend as per advice of their CO (the notice was emailed on Mar. 26, 2025, 4:07PM)</t>
  </si>
  <si>
    <t>Was not able to attend due to personal matter of the Officer-In-Charge (the notice was emailed on Mar. 27, 2025, 11:37AM)</t>
  </si>
  <si>
    <t>N.A.</t>
  </si>
  <si>
    <t>BUT-25-0407-017</t>
  </si>
  <si>
    <t>Amphi Theater Doña Maxima, San Luis, Agusan del Sur</t>
  </si>
  <si>
    <t>BUT-25-0407-018</t>
  </si>
  <si>
    <t>BUT-25-0407-019</t>
  </si>
  <si>
    <t>Robinson's Place, Butuan City</t>
  </si>
  <si>
    <t>BUT-25-0421-020</t>
  </si>
  <si>
    <t>BUT-25-0421-021</t>
  </si>
  <si>
    <t>BUT-25-0421-022</t>
  </si>
  <si>
    <t>BUT-25-0421-023</t>
  </si>
  <si>
    <t>BUT-25-0421-024</t>
  </si>
  <si>
    <t>May 1-2, 2025</t>
  </si>
  <si>
    <t>Taboo Area, Capitol Compound, Brgy. Cuarinta, San Jose, Dinagat Islands</t>
  </si>
  <si>
    <t>BUT-25-0421-025</t>
  </si>
  <si>
    <t>DIMENSION-ALL MANPOWER INC.</t>
  </si>
  <si>
    <t xml:space="preserve">not participated </t>
  </si>
  <si>
    <t>Was not able to attend due to personal matter of the Officer-In-Charge (the notice was emailed on Apr. 24, 2025; 6:49PM)</t>
  </si>
  <si>
    <t>Did not participate</t>
  </si>
  <si>
    <t>EXCEL GREEN KARD INTERNATIONAL INC.</t>
  </si>
  <si>
    <t>BUT-25-0425-026</t>
  </si>
  <si>
    <t>BUT-25-0428-027</t>
  </si>
  <si>
    <t>Was not able to participate because of some personal matters</t>
  </si>
  <si>
    <t>BUT-25-0509-028</t>
  </si>
  <si>
    <t>BUT-25-0509-029</t>
  </si>
  <si>
    <t>9K INTERNATIONAL MANPOWER AND RECRUITMENT SERVICES CORP</t>
  </si>
  <si>
    <t>NEMSU Tandag Ground Floor Engineering Building, Rosario,Tandag City, Surigao del Sur</t>
  </si>
  <si>
    <t>BUT-25-0514-030</t>
  </si>
  <si>
    <t>New RTR Public Terminal, RTR, Agusan del Norte</t>
  </si>
  <si>
    <t>BUT-25-0514-031</t>
  </si>
  <si>
    <t>BUT-25-0515-032</t>
  </si>
  <si>
    <t>BUT-25-0516-033</t>
  </si>
  <si>
    <t>College Building, Northern Mindanao Colleges Inc., Atega St., Cabadbaran City</t>
  </si>
  <si>
    <t>BUT-25-0516-034</t>
  </si>
  <si>
    <t>BUT-25-0516-035</t>
  </si>
  <si>
    <t>May 27-28, 2025</t>
  </si>
  <si>
    <t>ASSCAT Sports and Socio-Cultural Center, Bunawan, Agusan del Sur</t>
  </si>
  <si>
    <t>BUT-25-0520-036</t>
  </si>
  <si>
    <t>BUT-25-0521-037</t>
  </si>
  <si>
    <t>NO.</t>
  </si>
  <si>
    <t>BUT-25-0521-038</t>
  </si>
  <si>
    <t>BUT-25-0522-039</t>
  </si>
  <si>
    <t>The Job Fair was cancelled</t>
  </si>
  <si>
    <t>BUT-25-0522-040</t>
  </si>
  <si>
    <t>St. Theresa College of Tandag Inc., Magsaysay St., Cor. Quezon St.Dagocdoc, Tandag City,Surigao del Sur</t>
  </si>
  <si>
    <t>-</t>
  </si>
  <si>
    <t>BUT-25-0526-041</t>
  </si>
  <si>
    <t>Datu Lipus Makapandong Cultural Center, Gov. D.O. Plaza  Government Center, Prosperidad, Agusan del Sur</t>
  </si>
  <si>
    <t>BUT-25-0527-042</t>
  </si>
  <si>
    <t>JUNE 19-20, 2025</t>
  </si>
  <si>
    <t>Tan Chan Mini Gym, Mabunu Tubajon, Dinagat Islands</t>
  </si>
  <si>
    <t>BUT-25-0529-043</t>
  </si>
  <si>
    <t>BUT-25-0602-044</t>
  </si>
  <si>
    <t>BUT-25-0602-045</t>
  </si>
  <si>
    <t>NEMSU Cagwait Three-Storey Building, Cagwait, Surigao del Sur</t>
  </si>
  <si>
    <t>NEMSU Tagbina Gymnasium, Tagbina, Surigao del Sur</t>
  </si>
  <si>
    <t>BUT-25-0603-046</t>
  </si>
  <si>
    <t>BUT-25-0603-047</t>
  </si>
  <si>
    <t>BUT-25-0603-048</t>
  </si>
  <si>
    <t>NEMSU Lianga, Lianga, Surigao del Sur</t>
  </si>
  <si>
    <t>BUT-25-0603-049</t>
  </si>
  <si>
    <t>JUNE 12-13, 2025</t>
  </si>
  <si>
    <t>Lope A. Asis Gym, Bayugan City</t>
  </si>
  <si>
    <t>BUT-25-0604-050</t>
  </si>
  <si>
    <t>ERRX RECRUITMENT CONSULTING INC.</t>
  </si>
  <si>
    <t>BUT-25-0604-051</t>
  </si>
  <si>
    <t>Robinsons Place, Butuan City</t>
  </si>
  <si>
    <t>BUT-25-0605-052</t>
  </si>
  <si>
    <t>BUT-25-0605-053</t>
  </si>
  <si>
    <t>BUT-25-0605-054</t>
  </si>
  <si>
    <t>Gaisano Grand Mall, San Francisco, Agusan del Sur</t>
  </si>
  <si>
    <t>BUT-25-0605-055</t>
  </si>
  <si>
    <t>BUT-25-0605-056</t>
  </si>
  <si>
    <t>BUT-25-0605-057</t>
  </si>
  <si>
    <t>BUT-25-0609-058</t>
  </si>
  <si>
    <t>BUT-25-0609-059</t>
  </si>
  <si>
    <t>no submission</t>
  </si>
  <si>
    <t>BUT-25-0610-060</t>
  </si>
  <si>
    <t>BUT-25-0610-061</t>
  </si>
  <si>
    <t>San Teodoro Gymnasium, Bunawan, Agusan del Sur</t>
  </si>
  <si>
    <t>BUT-25-0611-062</t>
  </si>
  <si>
    <t>BUT-25-0611-063</t>
  </si>
  <si>
    <t>BUT-25-0617-064</t>
  </si>
  <si>
    <t>BUT-25-0617-065</t>
  </si>
  <si>
    <t>NO TERMINAL REPORT AND STATUS OF APPLICANTS FOR THE REASON OF : After their careful review of the applicant pool and the roles they were seeking to fill,
The agency determined that there was an insufficient number of candidates with the specific qualifications and experience we required at that time.</t>
  </si>
  <si>
    <t>BUT-25-0618-066</t>
  </si>
  <si>
    <t>SIM-SOH INTERNATIONAL SERVICES INC.</t>
  </si>
  <si>
    <t>BUT-25-0620-067</t>
  </si>
  <si>
    <t>Was not able to attend without prior notice</t>
  </si>
  <si>
    <t>To agency was late</t>
  </si>
  <si>
    <t>Was not able to attend due to personal matter of the Officer-In-Charge (the notice was emailed on June 18, 2025; 3:49PM)</t>
  </si>
  <si>
    <t>BUT-25-0627-068</t>
  </si>
  <si>
    <t>MUNICIPAL LOBBY, POBLACION, JABONGA, AGUSAN DEL NORTE</t>
  </si>
  <si>
    <t>BUT-25-0627-069</t>
  </si>
  <si>
    <t>MUNICIPAL GYM, POBLACION, CARMEN, AGUSAN DEL NORTE</t>
  </si>
  <si>
    <t>BUT-25-0702-070</t>
  </si>
  <si>
    <t>BUT-25-0714-071</t>
  </si>
  <si>
    <t>MUNICIPAL GYMNASIUM, BUENAVISTA, AGUSAN DEL NORTE</t>
  </si>
  <si>
    <t>BUT-25-0724-074</t>
  </si>
  <si>
    <t>BUT-25-0717-073</t>
  </si>
  <si>
    <t>BUT-25-0716-072</t>
  </si>
  <si>
    <t>BUT-25-0725-075</t>
  </si>
  <si>
    <t>BUT-25-0725-076</t>
  </si>
  <si>
    <t>BUT-25-0729-077</t>
  </si>
  <si>
    <t>MDRRM Office, Poblacion, Lingig, Surigao del Sur</t>
  </si>
  <si>
    <t>BUT-25-0730-078</t>
  </si>
  <si>
    <t>AL-ALAMIA INTERNATIONAL MANPOWER SERVICES</t>
  </si>
  <si>
    <t>BUT-25-0807-079</t>
  </si>
  <si>
    <t>3rd Floor, Events Center, SM Butuan, JC. Aquino Ave., Butuan City</t>
  </si>
  <si>
    <t>BUT-25-0807-080</t>
  </si>
  <si>
    <t>BUT-25-0808-081</t>
  </si>
  <si>
    <t>BUT-25-0808-082</t>
  </si>
  <si>
    <t>BUT-25-0811-083</t>
  </si>
  <si>
    <t>BUT-25-0811-084</t>
  </si>
  <si>
    <t>BUT-25-0811-085</t>
  </si>
  <si>
    <t>BUT-25-0811-086</t>
  </si>
  <si>
    <t>BUT-25-0811-087</t>
  </si>
  <si>
    <t>Bislig City Cultural and Sports Center, Bislig City, Surigao del Sur</t>
  </si>
  <si>
    <t>BUT-25-0811-088</t>
  </si>
  <si>
    <t>BUT-25-0811-089</t>
  </si>
  <si>
    <t>BUT-25-0812-090</t>
  </si>
  <si>
    <t>Municipal Plaza, Hinatuan, Surigao del Sur</t>
  </si>
  <si>
    <t>BUT-25-0812-091</t>
  </si>
  <si>
    <t>BUT-25-0812-092</t>
  </si>
  <si>
    <t>BUT-25-0812-093</t>
  </si>
  <si>
    <t>BUT-25-0813-094</t>
  </si>
  <si>
    <t>BUT-25-0814-095</t>
  </si>
  <si>
    <t>BUT-25-0814-096</t>
  </si>
  <si>
    <t>BUT-25-0818-097</t>
  </si>
  <si>
    <t>BUT-25-0818-098</t>
  </si>
  <si>
    <t>BUT-25-0819-099</t>
  </si>
  <si>
    <t>LGU-Madrid Covention Center, Madrid, Surigao del Sur</t>
  </si>
  <si>
    <t>BUT-25-0827-100</t>
  </si>
  <si>
    <t>BUT-25-0827-101</t>
  </si>
  <si>
    <t>Was not able to attend due to personal matters (Emailed 8-20-25)</t>
  </si>
  <si>
    <t>was not able to attend (lack communication of the branch manager with their main office)</t>
  </si>
  <si>
    <t>NA</t>
  </si>
  <si>
    <t>BUT-25-0828-102</t>
  </si>
  <si>
    <t>BUT-25-0902-103</t>
  </si>
  <si>
    <t>BUT-25-0905-104</t>
  </si>
  <si>
    <t>Robinsons Mall, Butuan City</t>
  </si>
  <si>
    <t>BUT-25-0905-105</t>
  </si>
  <si>
    <t>BUT-25-0905-106</t>
  </si>
  <si>
    <t>BUT-25-0905-107</t>
  </si>
  <si>
    <t>Will not able to attend due to personal matters (Emailed September 3, 2025)</t>
  </si>
  <si>
    <t>BUT-25-0910-108</t>
  </si>
  <si>
    <t>BUT-25-0910-109</t>
  </si>
  <si>
    <t>BUT-25-0910-110</t>
  </si>
  <si>
    <t>BUT-25-0910-111</t>
  </si>
  <si>
    <t>Datu Mankumbate Deo S. Manpatilan, Sr. Events and Cultural Center (Covered Court), Poblacion, Esperanza, Agusan del Sur</t>
  </si>
  <si>
    <t>BUT-25-0910-112</t>
  </si>
  <si>
    <t>BUT-25-0910-113</t>
  </si>
  <si>
    <t>BUT-25-0910-114</t>
  </si>
  <si>
    <t>MARMIC INTERNATIONAL PLACEMENT SERVICES</t>
  </si>
  <si>
    <t>Sept. 27-29, 2025</t>
  </si>
  <si>
    <t>BUT-25-0910-115</t>
  </si>
  <si>
    <t>Capitol Covered Court, Butuan City</t>
  </si>
  <si>
    <t>BUT-25-0910-116</t>
  </si>
  <si>
    <t>BUT-25-0910-117</t>
  </si>
  <si>
    <t>BUT-25-0910-118</t>
  </si>
  <si>
    <t>BUT-25-0910-119</t>
  </si>
  <si>
    <t>Naliyagan Ground, GDOP Government Center, Patin-ay, Prosperidad, Agusan del Sur</t>
  </si>
  <si>
    <t>BUT-25-0911-120</t>
  </si>
  <si>
    <t>Barangay Gy, Mahayahay, San Jose, Dinagat Islands</t>
  </si>
  <si>
    <t>BUT-25-0911-121</t>
  </si>
  <si>
    <t>BUT-25-0911-122</t>
  </si>
  <si>
    <t>BUT-25-0911-123</t>
  </si>
  <si>
    <t>Poblacion Gymnasium, Poblacion, San Miguel, Surigao del Sur</t>
  </si>
  <si>
    <t>Was not able to attend due to personal matters
(thru phone call)</t>
  </si>
  <si>
    <t>Attended but no applicants qualified</t>
  </si>
  <si>
    <t>Was not able to attend due to representative's availabilty (emailed-9-12-25)</t>
  </si>
  <si>
    <t>BUT-25-0912-124</t>
  </si>
  <si>
    <t>BUT-25-0912-125</t>
  </si>
  <si>
    <t>SMC MANPOWER AGENCY PHILIPPINES COMPANY</t>
  </si>
  <si>
    <t>BUT-25-0912-126</t>
  </si>
  <si>
    <t>City Cultural Center, Surigao City</t>
  </si>
  <si>
    <t>BUT-25-0912-127</t>
  </si>
  <si>
    <t>BUT-25-0915-128</t>
  </si>
  <si>
    <t>GERDIN INTERNATIONAL MANPOWER INC.</t>
  </si>
  <si>
    <t>BUT-25-0916-129</t>
  </si>
  <si>
    <t>Tabo Area, Capitol Ground, Cuarinta, San Jose, Dinagat Islands</t>
  </si>
  <si>
    <t>BUT-25-0919-130</t>
  </si>
  <si>
    <t>PREMIER GLOBAL RECRUITMENT OPC</t>
  </si>
  <si>
    <t>BUT-25-0919-131</t>
  </si>
  <si>
    <t>BUT-25-0922-132</t>
  </si>
  <si>
    <t>BUT-25-0922-133</t>
  </si>
  <si>
    <t>BUT-25-0922-134</t>
  </si>
  <si>
    <t>BUT-25-0922-135</t>
  </si>
  <si>
    <t>D.O. Plaza Park, Poblacion, Trento, Agusan del Sur</t>
  </si>
  <si>
    <t>NO NOTICE</t>
  </si>
  <si>
    <t xml:space="preserve"> NA</t>
  </si>
  <si>
    <t>Was not able to attend due to representative's availabilty (emailed -9-26-25)</t>
  </si>
  <si>
    <t>BUT-25-1016-136</t>
  </si>
  <si>
    <t>Municipal Gymnasium, Barobo, Surigao del Sur</t>
  </si>
  <si>
    <t>BUT-25-1017-137</t>
  </si>
  <si>
    <t>Buenavista Municpal Gymnasium, Buenavista, Agusan del Norte</t>
  </si>
  <si>
    <t>BUT-25-1110-138</t>
  </si>
  <si>
    <t>BUT-25-1111-139</t>
  </si>
  <si>
    <t>BUT-25-1112-140</t>
  </si>
  <si>
    <t>BUT-25-1113-141</t>
  </si>
  <si>
    <t>RITE MERIT INTERNATIONAL CORPORATION</t>
  </si>
  <si>
    <t>BUT-25-1119-142</t>
  </si>
  <si>
    <t>BUT-25-1121-143</t>
  </si>
  <si>
    <t>BUT-25-1127-144</t>
  </si>
  <si>
    <t>BUT-25-1202-145</t>
  </si>
  <si>
    <t>Municipal Gymnasium, Tago Surigao del Sur</t>
  </si>
  <si>
    <t>BUT-25-1203-146</t>
  </si>
  <si>
    <t>MONTH</t>
  </si>
  <si>
    <t>NO. OF JFA ISSUED</t>
  </si>
  <si>
    <t>JOB FAIR AUTHORITY ISSUED</t>
  </si>
  <si>
    <t>JANUARY</t>
  </si>
  <si>
    <t>FEBRUARY</t>
  </si>
  <si>
    <t>MARCH</t>
  </si>
  <si>
    <t>APRIL</t>
  </si>
  <si>
    <t>MAY</t>
  </si>
  <si>
    <t>JUNE</t>
  </si>
  <si>
    <t>JULY</t>
  </si>
  <si>
    <t>AUGUST</t>
  </si>
  <si>
    <t>SEPTEMBER</t>
  </si>
  <si>
    <t>OCTOBER</t>
  </si>
  <si>
    <t>NOVEMBER</t>
  </si>
  <si>
    <t>DECEMBER</t>
  </si>
  <si>
    <t>SUB 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</si>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</sst>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dd\-mmm\-yy;@"/>
  </numFmts>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Calibri"/>
      <family val="2"/>
      <scheme val="minor"/>
    </font>
    <font>
      <b/>
      <sz val="11"/>
      <color theme="1"/>
      <name val="Calibri"/>
      <family val="2"/>
      <scheme val="minor"/>
    </font>
    <font>
      <b/>
      <sz val="11"/>
      <color theme="1"/>
      <name val="Calibri"/>
      <family val="2"/>
    </font>
    <font>
      <sz val="8"/>
      <name val="Calibri"/>
      <family val="2"/>
      <scheme val="minor"/>
    </font>
    <font>
      <sz val="11"/>
      <color theme="1"/>
      <name val="Calibri"/>
      <family val="2"/>
    </font>
    <font>
      <sz val="8"/>
      <name val="Calibri"/>
      <family val="2"/>
      <scheme val="minor"/>
    </font>
    <font>
      <sz val="8"/>
      <name val="Calibri"/>
      <family val="2"/>
      <scheme val="minor"/>
    </font>
    <font>
      <sz val="8"/>
      <name val="Calibri"/>
      <charset val="134"/>
      <scheme val="minor"/>
    </font>
    <font>
      <b/>
      <i/>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s>
  <borders count="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1">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13" fillId="0" borderId="0" xfId="0" applyFont="1" applyAlignment="1">
      <alignment horizontal="center" vertical="center" wrapText="1"/>
    </xf>
    <xf numFmtId="3" fontId="0" fillId="0" borderId="0" xfId="0" applyNumberFormat="1"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wrapText="1"/>
    </xf>
    <xf numFmtId="0" fontId="0" fillId="0" borderId="4" xfId="0" applyBorder="1" applyAlignment="1">
      <alignment horizontal="center" vertical="center" wrapText="1"/>
    </xf>
    <xf numFmtId="0" fontId="0" fillId="0" borderId="4" xfId="0" applyBorder="1" applyAlignment="1">
      <alignment vertical="center" wrapText="1"/>
    </xf>
    <xf numFmtId="0" fontId="13" fillId="0" borderId="4" xfId="0" applyFont="1" applyBorder="1" applyAlignment="1">
      <alignment horizontal="center" vertical="center" wrapText="1"/>
    </xf>
    <xf numFmtId="3" fontId="0" fillId="0" borderId="4" xfId="0" applyNumberFormat="1" applyBorder="1" applyAlignment="1">
      <alignment horizontal="center" vertical="center" wrapText="1"/>
    </xf>
    <xf numFmtId="164" fontId="15" fillId="0" borderId="4" xfId="0" applyNumberFormat="1" applyFont="1" applyBorder="1" applyAlignment="1">
      <alignment horizontal="center" vertical="center" wrapText="1"/>
    </xf>
    <xf numFmtId="3" fontId="15" fillId="0" borderId="4" xfId="0" applyNumberFormat="1" applyFont="1" applyBorder="1" applyAlignment="1">
      <alignment horizontal="center" vertical="center" wrapText="1"/>
    </xf>
    <xf numFmtId="0" fontId="12" fillId="0" borderId="4" xfId="0" applyFont="1" applyBorder="1" applyAlignment="1">
      <alignment vertical="center" wrapText="1"/>
    </xf>
    <xf numFmtId="0" fontId="12" fillId="0" borderId="4" xfId="0" applyFont="1" applyBorder="1" applyAlignment="1">
      <alignment horizontal="center" vertical="center" wrapText="1"/>
    </xf>
    <xf numFmtId="164" fontId="0" fillId="0" borderId="4" xfId="0" applyNumberFormat="1" applyBorder="1" applyAlignment="1">
      <alignment horizontal="center" vertical="center" wrapText="1"/>
    </xf>
    <xf numFmtId="164" fontId="17" fillId="0" borderId="4" xfId="0" applyNumberFormat="1" applyFont="1" applyBorder="1" applyAlignment="1">
      <alignment horizontal="center" vertical="center" wrapText="1"/>
    </xf>
    <xf numFmtId="164" fontId="12" fillId="0" borderId="4" xfId="0" applyNumberFormat="1" applyFont="1" applyBorder="1" applyAlignment="1">
      <alignment horizontal="center" vertical="center" wrapText="1"/>
    </xf>
    <xf numFmtId="0" fontId="0" fillId="2" borderId="4" xfId="0" applyFill="1" applyBorder="1" applyAlignment="1">
      <alignment horizontal="center" vertical="center" wrapText="1"/>
    </xf>
    <xf numFmtId="3" fontId="14" fillId="2" borderId="4" xfId="0" applyNumberFormat="1" applyFont="1" applyFill="1" applyBorder="1" applyAlignment="1">
      <alignment horizontal="center" vertical="center" wrapText="1"/>
    </xf>
    <xf numFmtId="0" fontId="14" fillId="2" borderId="4" xfId="0" applyFont="1" applyFill="1" applyBorder="1" applyAlignment="1">
      <alignment horizontal="center" vertical="center" wrapText="1"/>
    </xf>
    <xf numFmtId="164" fontId="14" fillId="2" borderId="4" xfId="0" applyNumberFormat="1" applyFont="1" applyFill="1" applyBorder="1" applyAlignment="1">
      <alignment horizontal="center" vertical="center" wrapText="1"/>
    </xf>
    <xf numFmtId="0" fontId="11" fillId="0" borderId="4" xfId="0" applyFont="1" applyBorder="1" applyAlignment="1">
      <alignment vertical="center" wrapText="1"/>
    </xf>
    <xf numFmtId="15" fontId="0" fillId="0" borderId="4" xfId="0" applyNumberFormat="1" applyBorder="1" applyAlignment="1">
      <alignment horizontal="center" vertical="center" wrapText="1"/>
    </xf>
    <xf numFmtId="0" fontId="10" fillId="0" borderId="4" xfId="0" applyFont="1" applyBorder="1" applyAlignment="1">
      <alignment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0" fillId="0" borderId="1" xfId="0" applyBorder="1" applyAlignment="1">
      <alignment vertical="center" wrapText="1"/>
    </xf>
    <xf numFmtId="0" fontId="7" fillId="0" borderId="4" xfId="0" applyFont="1" applyBorder="1" applyAlignment="1">
      <alignment horizontal="center" vertical="center" wrapText="1"/>
    </xf>
    <xf numFmtId="164" fontId="7"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164" fontId="4"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164" fontId="3" fillId="0" borderId="4"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14" fillId="2" borderId="2" xfId="0" applyNumberFormat="1" applyFont="1" applyFill="1" applyBorder="1" applyAlignment="1">
      <alignment horizontal="center" vertical="center" wrapText="1"/>
    </xf>
    <xf numFmtId="164" fontId="14" fillId="2" borderId="5" xfId="0" applyNumberFormat="1" applyFont="1" applyFill="1" applyBorder="1" applyAlignment="1">
      <alignment horizontal="center" vertical="center" wrapText="1"/>
    </xf>
    <xf numFmtId="164" fontId="14" fillId="2" borderId="6"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3" fontId="14" fillId="2" borderId="2" xfId="0" applyNumberFormat="1" applyFont="1" applyFill="1" applyBorder="1" applyAlignment="1">
      <alignment horizontal="center" vertical="center" wrapText="1"/>
    </xf>
    <xf numFmtId="3" fontId="14" fillId="2" borderId="5" xfId="0" applyNumberFormat="1" applyFont="1" applyFill="1" applyBorder="1" applyAlignment="1">
      <alignment horizontal="center" vertical="center" wrapText="1"/>
    </xf>
    <xf numFmtId="3" fontId="14" fillId="2" borderId="6"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5" fontId="0" fillId="0" borderId="4" xfId="0" applyNumberFormat="1" applyBorder="1" applyAlignment="1">
      <alignment horizontal="center" vertical="center" wrapText="1"/>
    </xf>
    <xf numFmtId="0" fontId="0" fillId="0" borderId="4" xfId="0" applyBorder="1" applyAlignment="1">
      <alignment horizontal="center" vertical="center" wrapText="1"/>
    </xf>
    <xf numFmtId="15" fontId="0" fillId="0" borderId="1" xfId="0" applyNumberFormat="1" applyBorder="1" applyAlignment="1">
      <alignment horizontal="center" vertical="center" wrapText="1"/>
    </xf>
    <xf numFmtId="15" fontId="0" fillId="0" borderId="7" xfId="0" applyNumberFormat="1" applyBorder="1" applyAlignment="1">
      <alignment horizontal="center" vertical="center" wrapText="1"/>
    </xf>
    <xf numFmtId="15" fontId="0" fillId="0" borderId="3" xfId="0" applyNumberFormat="1"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6" fillId="0" borderId="1"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3" xfId="0" applyFont="1"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164" fontId="14" fillId="2" borderId="4" xfId="0" applyNumberFormat="1" applyFont="1" applyFill="1" applyBorder="1" applyAlignment="1">
      <alignment horizontal="center" vertical="center" wrapText="1"/>
    </xf>
    <xf numFmtId="0" fontId="14" fillId="0" borderId="0" xfId="0" applyFont="1" applyAlignment="1">
      <alignment horizontal="center"/>
    </xf>
    <xf numFmtId="0" fontId="14" fillId="0" borderId="0" xfId="0" applyFont="1" applyAlignment="1">
      <alignment horizontal="center"/>
    </xf>
    <xf numFmtId="0" fontId="1" fillId="0" borderId="4" xfId="0" applyFont="1" applyBorder="1" applyAlignment="1">
      <alignment horizontal="center"/>
    </xf>
    <xf numFmtId="0" fontId="21" fillId="0" borderId="0" xfId="0" applyFont="1"/>
    <xf numFmtId="0" fontId="14" fillId="0" borderId="0" xfId="0" applyFont="1"/>
    <xf numFmtId="0" fontId="21" fillId="2" borderId="4" xfId="0" applyFont="1" applyFill="1" applyBorder="1" applyAlignment="1">
      <alignment horizontal="center"/>
    </xf>
    <xf numFmtId="0" fontId="14" fillId="3" borderId="4" xfId="0" applyFont="1" applyFill="1" applyBorder="1" applyAlignment="1">
      <alignment horizontal="center"/>
    </xf>
    <xf numFmtId="0" fontId="0" fillId="0" borderId="4" xfId="0" applyBorder="1" applyAlignment="1">
      <alignment horizontal="center"/>
    </xf>
    <xf numFmtId="0" fontId="14" fillId="3"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F4B6-C9F1-4EF5-BCA9-FDAC6AAFDB8A}">
  <dimension ref="A2:B19"/>
  <sheetViews>
    <sheetView tabSelected="1" workbookViewId="0">
      <selection activeCell="K19" sqref="K19"/>
    </sheetView>
  </sheetViews>
  <sheetFormatPr defaultRowHeight="15"/>
  <cols>
    <col min="1" max="1" width="22.5703125" customWidth="1"/>
    <col min="2" max="2" width="16" customWidth="1"/>
  </cols>
  <sheetData>
    <row r="2" spans="1:2">
      <c r="A2" s="63" t="s">
        <v>273</v>
      </c>
      <c r="B2" s="63"/>
    </row>
    <row r="3" spans="1:2">
      <c r="A3" s="62"/>
      <c r="B3" s="62"/>
    </row>
    <row r="4" spans="1:2" s="7" customFormat="1" ht="30">
      <c r="A4" s="70" t="s">
        <v>271</v>
      </c>
      <c r="B4" s="70" t="s">
        <v>272</v>
      </c>
    </row>
    <row r="5" spans="1:2">
      <c r="A5" s="64" t="s">
        <v>274</v>
      </c>
      <c r="B5" s="69">
        <f>JAN!A4</f>
        <v>2</v>
      </c>
    </row>
    <row r="6" spans="1:2">
      <c r="A6" s="64" t="s">
        <v>275</v>
      </c>
      <c r="B6" s="69">
        <f>FEB!A5</f>
        <v>3</v>
      </c>
    </row>
    <row r="7" spans="1:2">
      <c r="A7" s="64" t="s">
        <v>276</v>
      </c>
      <c r="B7" s="69">
        <f>MAR!A8</f>
        <v>6</v>
      </c>
    </row>
    <row r="8" spans="1:2">
      <c r="A8" s="64" t="s">
        <v>277</v>
      </c>
      <c r="B8" s="69">
        <f>APR!A10</f>
        <v>8</v>
      </c>
    </row>
    <row r="9" spans="1:2">
      <c r="A9" s="64" t="s">
        <v>278</v>
      </c>
      <c r="B9" s="69">
        <f>MAY!A23</f>
        <v>21</v>
      </c>
    </row>
    <row r="10" spans="1:2">
      <c r="A10" s="64" t="s">
        <v>279</v>
      </c>
      <c r="B10" s="69">
        <f>JUN!A29</f>
        <v>27</v>
      </c>
    </row>
    <row r="11" spans="1:2" s="65" customFormat="1">
      <c r="A11" s="67" t="s">
        <v>286</v>
      </c>
      <c r="B11" s="67">
        <f>SUM(B5:B10)</f>
        <v>67</v>
      </c>
    </row>
    <row r="12" spans="1:2">
      <c r="A12" s="64" t="s">
        <v>280</v>
      </c>
      <c r="B12" s="69">
        <f>JUL!A11</f>
        <v>9</v>
      </c>
    </row>
    <row r="13" spans="1:2">
      <c r="A13" s="64" t="s">
        <v>281</v>
      </c>
      <c r="B13" s="69">
        <f>AUG!A28</f>
        <v>26</v>
      </c>
    </row>
    <row r="14" spans="1:2">
      <c r="A14" s="64" t="s">
        <v>282</v>
      </c>
      <c r="B14" s="69">
        <f>SEPT!A35</f>
        <v>33</v>
      </c>
    </row>
    <row r="15" spans="1:2">
      <c r="A15" s="64" t="s">
        <v>283</v>
      </c>
      <c r="B15" s="69">
        <f>OCT!A4</f>
        <v>2</v>
      </c>
    </row>
    <row r="16" spans="1:2">
      <c r="A16" s="64" t="s">
        <v>284</v>
      </c>
      <c r="B16" s="69">
        <f>NOV!A9</f>
        <v>7</v>
      </c>
    </row>
    <row r="17" spans="1:2">
      <c r="A17" s="64" t="s">
        <v>285</v>
      </c>
      <c r="B17" s="69">
        <f>DEC!A4</f>
        <v>2</v>
      </c>
    </row>
    <row r="18" spans="1:2" s="65" customFormat="1">
      <c r="A18" s="67" t="s">
        <v>286</v>
      </c>
      <c r="B18" s="67">
        <f>SUM(B12:B17)</f>
        <v>79</v>
      </c>
    </row>
    <row r="19" spans="1:2" s="66" customFormat="1">
      <c r="A19" s="68" t="s">
        <v>287</v>
      </c>
      <c r="B19" s="68">
        <f>B11+B18</f>
        <v>146</v>
      </c>
    </row>
  </sheetData>
  <mergeCells count="1">
    <mergeCell ref="A2:B2"/>
  </mergeCells>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
  <sheetViews>
    <sheetView workbookViewId="0">
      <pane xSplit="3" ySplit="2" topLeftCell="H3" activePane="bottomRight" state="frozen"/>
      <selection pane="topRight"/>
      <selection pane="bottomLeft"/>
      <selection pane="bottomRight" activeCell="B3" sqref="B3"/>
    </sheetView>
  </sheetViews>
  <sheetFormatPr defaultColWidth="8.85546875" defaultRowHeight="15"/>
  <cols>
    <col min="1" max="1" width="7.42578125" style="3" customWidth="1"/>
    <col min="2" max="2" width="21.42578125" style="1" customWidth="1"/>
    <col min="3" max="3" width="44.85546875" style="2" customWidth="1"/>
    <col min="4" max="4" width="18.85546875" style="3" customWidth="1"/>
    <col min="5" max="5" width="45.85546875" style="1" customWidth="1"/>
    <col min="6" max="6" width="49.7109375" style="4" customWidth="1"/>
    <col min="7" max="7" width="21.28515625" style="1" customWidth="1"/>
    <col min="8" max="8" width="16.28515625" style="5" customWidth="1"/>
    <col min="9" max="9" width="12.28515625" style="5" customWidth="1"/>
    <col min="10" max="10" width="16.7109375" style="5" customWidth="1"/>
    <col min="11" max="11" width="12.28515625" style="5" customWidth="1"/>
    <col min="12" max="13" width="17" style="5" customWidth="1"/>
    <col min="14" max="14" width="20.85546875" style="1" customWidth="1"/>
    <col min="15" max="16384" width="8.85546875" style="7"/>
  </cols>
  <sheetData>
    <row r="1" spans="1:14">
      <c r="A1" s="42" t="s">
        <v>103</v>
      </c>
      <c r="B1" s="40" t="s">
        <v>0</v>
      </c>
      <c r="C1" s="40" t="s">
        <v>1</v>
      </c>
      <c r="D1" s="40" t="s">
        <v>2</v>
      </c>
      <c r="E1" s="40" t="s">
        <v>3</v>
      </c>
      <c r="F1" s="40" t="s">
        <v>4</v>
      </c>
      <c r="G1" s="40" t="s">
        <v>5</v>
      </c>
      <c r="H1" s="46" t="s">
        <v>6</v>
      </c>
      <c r="I1" s="43" t="s">
        <v>7</v>
      </c>
      <c r="J1" s="44"/>
      <c r="K1" s="44"/>
      <c r="L1" s="44"/>
      <c r="M1" s="45"/>
      <c r="N1" s="19"/>
    </row>
    <row r="2" spans="1:14" ht="30">
      <c r="A2" s="42"/>
      <c r="B2" s="41"/>
      <c r="C2" s="41"/>
      <c r="D2" s="41"/>
      <c r="E2" s="41"/>
      <c r="F2" s="41"/>
      <c r="G2" s="41"/>
      <c r="H2" s="47"/>
      <c r="I2" s="20" t="s">
        <v>8</v>
      </c>
      <c r="J2" s="20" t="s">
        <v>9</v>
      </c>
      <c r="K2" s="20" t="s">
        <v>10</v>
      </c>
      <c r="L2" s="20" t="s">
        <v>11</v>
      </c>
      <c r="M2" s="20" t="s">
        <v>12</v>
      </c>
      <c r="N2" s="21" t="s">
        <v>13</v>
      </c>
    </row>
    <row r="3" spans="1:14" ht="48">
      <c r="A3" s="8">
        <v>1</v>
      </c>
      <c r="B3" s="8" t="s">
        <v>14</v>
      </c>
      <c r="C3" s="9" t="s">
        <v>15</v>
      </c>
      <c r="D3" s="48">
        <v>45687</v>
      </c>
      <c r="E3" s="49" t="s">
        <v>16</v>
      </c>
      <c r="F3" s="10" t="s">
        <v>17</v>
      </c>
      <c r="G3" s="8" t="s">
        <v>18</v>
      </c>
      <c r="H3" s="11">
        <v>570</v>
      </c>
      <c r="I3" s="13" t="s">
        <v>19</v>
      </c>
      <c r="J3" s="13" t="s">
        <v>19</v>
      </c>
      <c r="K3" s="13" t="s">
        <v>19</v>
      </c>
      <c r="L3" s="13" t="s">
        <v>19</v>
      </c>
      <c r="M3" s="13" t="s">
        <v>19</v>
      </c>
      <c r="N3" s="8"/>
    </row>
    <row r="4" spans="1:14" ht="75">
      <c r="A4" s="8">
        <v>2</v>
      </c>
      <c r="B4" s="8" t="s">
        <v>20</v>
      </c>
      <c r="C4" s="9" t="s">
        <v>21</v>
      </c>
      <c r="D4" s="48"/>
      <c r="E4" s="49"/>
      <c r="F4" s="10" t="s">
        <v>22</v>
      </c>
      <c r="G4" s="8" t="s">
        <v>23</v>
      </c>
      <c r="H4" s="11">
        <v>4542</v>
      </c>
      <c r="I4" s="13" t="s">
        <v>19</v>
      </c>
      <c r="J4" s="13" t="s">
        <v>19</v>
      </c>
      <c r="K4" s="13" t="s">
        <v>19</v>
      </c>
      <c r="L4" s="13" t="s">
        <v>19</v>
      </c>
      <c r="M4" s="13" t="s">
        <v>19</v>
      </c>
      <c r="N4" s="8"/>
    </row>
  </sheetData>
  <mergeCells count="11">
    <mergeCell ref="D3:D4"/>
    <mergeCell ref="E1:E2"/>
    <mergeCell ref="E3:E4"/>
    <mergeCell ref="F1:F2"/>
    <mergeCell ref="G1:G2"/>
    <mergeCell ref="A1:A2"/>
    <mergeCell ref="I1:M1"/>
    <mergeCell ref="B1:B2"/>
    <mergeCell ref="C1:C2"/>
    <mergeCell ref="D1:D2"/>
    <mergeCell ref="H1:H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
  <sheetViews>
    <sheetView workbookViewId="0">
      <pane xSplit="3" ySplit="2" topLeftCell="H3" activePane="bottomRight" state="frozen"/>
      <selection pane="topRight"/>
      <selection pane="bottomLeft"/>
      <selection pane="bottomRight" activeCell="N5" sqref="N5"/>
    </sheetView>
  </sheetViews>
  <sheetFormatPr defaultColWidth="8.85546875" defaultRowHeight="15"/>
  <cols>
    <col min="1" max="1" width="7.7109375" style="7" customWidth="1"/>
    <col min="2" max="2" width="21.42578125" style="1" customWidth="1"/>
    <col min="3" max="3" width="41.28515625" style="2" customWidth="1"/>
    <col min="4" max="4" width="18.85546875" style="3" customWidth="1"/>
    <col min="5" max="5" width="45.85546875" style="1" customWidth="1"/>
    <col min="6" max="6" width="59.85546875" style="4" customWidth="1"/>
    <col min="7" max="7" width="21.28515625" style="1" customWidth="1"/>
    <col min="8" max="8" width="16.28515625" style="5" customWidth="1"/>
    <col min="9" max="9" width="13.5703125" style="6" customWidth="1"/>
    <col min="10" max="10" width="16.7109375" style="6" customWidth="1"/>
    <col min="11" max="11" width="12.28515625" style="6" customWidth="1"/>
    <col min="12" max="14" width="17" style="6" customWidth="1"/>
    <col min="15" max="15" width="20.85546875" style="1" customWidth="1"/>
    <col min="16" max="16384" width="8.85546875" style="7"/>
  </cols>
  <sheetData>
    <row r="1" spans="1:15" ht="14.45" customHeight="1">
      <c r="A1" s="42" t="s">
        <v>103</v>
      </c>
      <c r="B1" s="40" t="s">
        <v>0</v>
      </c>
      <c r="C1" s="40" t="s">
        <v>1</v>
      </c>
      <c r="D1" s="40" t="s">
        <v>2</v>
      </c>
      <c r="E1" s="40" t="s">
        <v>3</v>
      </c>
      <c r="F1" s="40" t="s">
        <v>4</v>
      </c>
      <c r="G1" s="40" t="s">
        <v>5</v>
      </c>
      <c r="H1" s="46" t="s">
        <v>6</v>
      </c>
      <c r="I1" s="37" t="s">
        <v>7</v>
      </c>
      <c r="J1" s="38"/>
      <c r="K1" s="38"/>
      <c r="L1" s="38"/>
      <c r="M1" s="38"/>
      <c r="N1" s="39"/>
      <c r="O1" s="19"/>
    </row>
    <row r="2" spans="1:15" ht="45">
      <c r="A2" s="42"/>
      <c r="B2" s="41"/>
      <c r="C2" s="41"/>
      <c r="D2" s="41"/>
      <c r="E2" s="41"/>
      <c r="F2" s="41"/>
      <c r="G2" s="41"/>
      <c r="H2" s="47"/>
      <c r="I2" s="22" t="s">
        <v>24</v>
      </c>
      <c r="J2" s="22" t="s">
        <v>25</v>
      </c>
      <c r="K2" s="22" t="s">
        <v>26</v>
      </c>
      <c r="L2" s="22" t="s">
        <v>27</v>
      </c>
      <c r="M2" s="22" t="s">
        <v>28</v>
      </c>
      <c r="N2" s="22" t="s">
        <v>62</v>
      </c>
      <c r="O2" s="21" t="s">
        <v>13</v>
      </c>
    </row>
    <row r="3" spans="1:15" ht="36">
      <c r="A3" s="8">
        <v>1</v>
      </c>
      <c r="B3" s="8" t="s">
        <v>29</v>
      </c>
      <c r="C3" s="9" t="s">
        <v>30</v>
      </c>
      <c r="D3" s="48">
        <v>45708</v>
      </c>
      <c r="E3" s="49" t="s">
        <v>31</v>
      </c>
      <c r="F3" s="10" t="s">
        <v>32</v>
      </c>
      <c r="G3" s="8" t="s">
        <v>33</v>
      </c>
      <c r="H3" s="11">
        <v>158</v>
      </c>
      <c r="I3" s="12">
        <v>45692</v>
      </c>
      <c r="J3" s="12">
        <v>45694</v>
      </c>
      <c r="K3" s="12">
        <v>45694</v>
      </c>
      <c r="L3" s="12">
        <v>45701</v>
      </c>
      <c r="M3" s="12">
        <v>45712</v>
      </c>
      <c r="N3" s="12">
        <v>45721</v>
      </c>
      <c r="O3" s="8"/>
    </row>
    <row r="4" spans="1:15" ht="108">
      <c r="A4" s="8">
        <v>2</v>
      </c>
      <c r="B4" s="8" t="s">
        <v>34</v>
      </c>
      <c r="C4" s="9" t="s">
        <v>35</v>
      </c>
      <c r="D4" s="48"/>
      <c r="E4" s="49"/>
      <c r="F4" s="10" t="s">
        <v>36</v>
      </c>
      <c r="G4" s="8" t="s">
        <v>37</v>
      </c>
      <c r="H4" s="11">
        <v>2744</v>
      </c>
      <c r="I4" s="12">
        <v>45692</v>
      </c>
      <c r="J4" s="12">
        <v>45695</v>
      </c>
      <c r="K4" s="12">
        <v>374413</v>
      </c>
      <c r="L4" s="12"/>
      <c r="M4" s="12">
        <v>45712</v>
      </c>
      <c r="N4" s="12">
        <v>45721</v>
      </c>
      <c r="O4" s="8"/>
    </row>
    <row r="5" spans="1:15" ht="216">
      <c r="A5" s="8">
        <v>3</v>
      </c>
      <c r="B5" s="8" t="s">
        <v>38</v>
      </c>
      <c r="C5" s="14" t="s">
        <v>15</v>
      </c>
      <c r="D5" s="48"/>
      <c r="E5" s="49"/>
      <c r="F5" s="10" t="s">
        <v>39</v>
      </c>
      <c r="G5" s="8" t="s">
        <v>40</v>
      </c>
      <c r="H5" s="11">
        <v>429</v>
      </c>
      <c r="I5" s="12">
        <v>45692</v>
      </c>
      <c r="J5" s="12">
        <v>45700</v>
      </c>
      <c r="K5" s="12">
        <v>45700</v>
      </c>
      <c r="L5" s="12">
        <v>45700</v>
      </c>
      <c r="M5" s="12">
        <v>45712</v>
      </c>
      <c r="N5" s="12">
        <v>45729</v>
      </c>
      <c r="O5" s="8"/>
    </row>
  </sheetData>
  <mergeCells count="11">
    <mergeCell ref="D3:D5"/>
    <mergeCell ref="E1:E2"/>
    <mergeCell ref="E3:E5"/>
    <mergeCell ref="F1:F2"/>
    <mergeCell ref="G1:G2"/>
    <mergeCell ref="A1:A2"/>
    <mergeCell ref="H1:H2"/>
    <mergeCell ref="I1:N1"/>
    <mergeCell ref="B1:B2"/>
    <mergeCell ref="C1:C2"/>
    <mergeCell ref="D1:D2"/>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8"/>
  <sheetViews>
    <sheetView workbookViewId="0">
      <pane xSplit="3" ySplit="2" topLeftCell="G3" activePane="bottomRight" state="frozen"/>
      <selection pane="topRight"/>
      <selection pane="bottomLeft"/>
      <selection pane="bottomRight" activeCell="D3" sqref="D3:D4"/>
    </sheetView>
  </sheetViews>
  <sheetFormatPr defaultColWidth="8.85546875" defaultRowHeight="15"/>
  <cols>
    <col min="1" max="1" width="8.85546875" style="7"/>
    <col min="2" max="2" width="21.42578125" style="1" customWidth="1"/>
    <col min="3" max="3" width="41.28515625" style="2" customWidth="1"/>
    <col min="4" max="4" width="18.85546875" style="3" customWidth="1"/>
    <col min="5" max="5" width="45.85546875" style="1" customWidth="1"/>
    <col min="6" max="6" width="13.5703125" style="6" customWidth="1"/>
    <col min="7" max="7" width="16.7109375" style="6" customWidth="1"/>
    <col min="8" max="8" width="12.28515625" style="6" customWidth="1"/>
    <col min="9" max="12" width="17" style="6" customWidth="1"/>
    <col min="13" max="13" width="29.7109375" style="1" customWidth="1"/>
    <col min="14" max="16384" width="8.85546875" style="7"/>
  </cols>
  <sheetData>
    <row r="1" spans="1:13" ht="14.45" customHeight="1">
      <c r="A1" s="42" t="s">
        <v>103</v>
      </c>
      <c r="B1" s="40" t="s">
        <v>0</v>
      </c>
      <c r="C1" s="40" t="s">
        <v>1</v>
      </c>
      <c r="D1" s="40" t="s">
        <v>2</v>
      </c>
      <c r="E1" s="40" t="s">
        <v>3</v>
      </c>
      <c r="F1" s="37" t="s">
        <v>7</v>
      </c>
      <c r="G1" s="38"/>
      <c r="H1" s="38"/>
      <c r="I1" s="38"/>
      <c r="J1" s="38"/>
      <c r="K1" s="38"/>
      <c r="L1" s="39"/>
      <c r="M1" s="19"/>
    </row>
    <row r="2" spans="1:13" ht="45">
      <c r="A2" s="42"/>
      <c r="B2" s="41"/>
      <c r="C2" s="41"/>
      <c r="D2" s="41"/>
      <c r="E2" s="41"/>
      <c r="F2" s="22" t="s">
        <v>24</v>
      </c>
      <c r="G2" s="22" t="s">
        <v>25</v>
      </c>
      <c r="H2" s="22" t="s">
        <v>26</v>
      </c>
      <c r="I2" s="22" t="s">
        <v>27</v>
      </c>
      <c r="J2" s="22" t="s">
        <v>28</v>
      </c>
      <c r="K2" s="22" t="s">
        <v>57</v>
      </c>
      <c r="L2" s="22" t="s">
        <v>62</v>
      </c>
      <c r="M2" s="21" t="s">
        <v>13</v>
      </c>
    </row>
    <row r="3" spans="1:13" ht="30">
      <c r="A3" s="8">
        <v>1</v>
      </c>
      <c r="B3" s="8" t="s">
        <v>41</v>
      </c>
      <c r="C3" s="9" t="s">
        <v>42</v>
      </c>
      <c r="D3" s="50" t="s">
        <v>43</v>
      </c>
      <c r="E3" s="53" t="s">
        <v>44</v>
      </c>
      <c r="F3" s="12">
        <v>45713</v>
      </c>
      <c r="G3" s="12">
        <v>45714</v>
      </c>
      <c r="H3" s="12">
        <v>45714</v>
      </c>
      <c r="I3" s="12">
        <v>45715</v>
      </c>
      <c r="J3" s="12">
        <v>45734</v>
      </c>
      <c r="K3" s="12">
        <v>45742</v>
      </c>
      <c r="L3" s="12"/>
      <c r="M3" s="8"/>
    </row>
    <row r="4" spans="1:13" ht="30">
      <c r="A4" s="8">
        <v>2</v>
      </c>
      <c r="B4" s="8" t="s">
        <v>46</v>
      </c>
      <c r="C4" s="9" t="s">
        <v>45</v>
      </c>
      <c r="D4" s="52"/>
      <c r="E4" s="55"/>
      <c r="F4" s="12">
        <v>45713</v>
      </c>
      <c r="G4" s="12">
        <v>45715</v>
      </c>
      <c r="H4" s="12">
        <v>45715</v>
      </c>
      <c r="I4" s="12">
        <v>45716</v>
      </c>
      <c r="J4" s="12">
        <v>45734</v>
      </c>
      <c r="K4" s="12"/>
      <c r="L4" s="12"/>
      <c r="M4" s="8"/>
    </row>
    <row r="5" spans="1:13" ht="30">
      <c r="A5" s="8">
        <v>3</v>
      </c>
      <c r="B5" s="8" t="s">
        <v>47</v>
      </c>
      <c r="C5" s="9" t="s">
        <v>45</v>
      </c>
      <c r="D5" s="50" t="s">
        <v>48</v>
      </c>
      <c r="E5" s="53" t="s">
        <v>49</v>
      </c>
      <c r="F5" s="12">
        <v>45733</v>
      </c>
      <c r="G5" s="12">
        <v>45734</v>
      </c>
      <c r="H5" s="12">
        <v>45734</v>
      </c>
      <c r="I5" s="12">
        <v>45735</v>
      </c>
      <c r="J5" s="12">
        <v>45749</v>
      </c>
      <c r="K5" s="12"/>
      <c r="L5" s="12"/>
      <c r="M5" s="8"/>
    </row>
    <row r="6" spans="1:13" ht="60">
      <c r="A6" s="8">
        <v>4</v>
      </c>
      <c r="B6" s="8" t="s">
        <v>51</v>
      </c>
      <c r="C6" s="9" t="s">
        <v>42</v>
      </c>
      <c r="D6" s="51"/>
      <c r="E6" s="54"/>
      <c r="F6" s="12">
        <v>45733</v>
      </c>
      <c r="G6" s="12">
        <v>45737</v>
      </c>
      <c r="H6" s="12">
        <v>45737</v>
      </c>
      <c r="I6" s="12">
        <v>45737</v>
      </c>
      <c r="J6" s="12" t="s">
        <v>65</v>
      </c>
      <c r="K6" s="12" t="s">
        <v>65</v>
      </c>
      <c r="L6" s="12" t="s">
        <v>65</v>
      </c>
      <c r="M6" s="8" t="s">
        <v>63</v>
      </c>
    </row>
    <row r="7" spans="1:13">
      <c r="A7" s="8">
        <v>5</v>
      </c>
      <c r="B7" s="8" t="s">
        <v>52</v>
      </c>
      <c r="C7" s="9" t="s">
        <v>21</v>
      </c>
      <c r="D7" s="51"/>
      <c r="E7" s="54"/>
      <c r="F7" s="12">
        <v>45733</v>
      </c>
      <c r="G7" s="12">
        <v>45737</v>
      </c>
      <c r="H7" s="12" t="s">
        <v>56</v>
      </c>
      <c r="I7" s="12" t="s">
        <v>56</v>
      </c>
      <c r="J7" s="12" t="s">
        <v>65</v>
      </c>
      <c r="K7" s="12" t="s">
        <v>65</v>
      </c>
      <c r="L7" s="12" t="s">
        <v>65</v>
      </c>
      <c r="M7" s="8" t="s">
        <v>80</v>
      </c>
    </row>
    <row r="8" spans="1:13" ht="75">
      <c r="A8" s="8">
        <v>6</v>
      </c>
      <c r="B8" s="8" t="s">
        <v>53</v>
      </c>
      <c r="C8" s="9" t="s">
        <v>35</v>
      </c>
      <c r="D8" s="52"/>
      <c r="E8" s="55"/>
      <c r="F8" s="12">
        <v>45733</v>
      </c>
      <c r="G8" s="12">
        <v>45741</v>
      </c>
      <c r="H8" s="12" t="s">
        <v>56</v>
      </c>
      <c r="I8" s="12">
        <v>45741</v>
      </c>
      <c r="J8" s="12" t="s">
        <v>65</v>
      </c>
      <c r="K8" s="12" t="s">
        <v>65</v>
      </c>
      <c r="L8" s="12" t="s">
        <v>65</v>
      </c>
      <c r="M8" s="8" t="s">
        <v>64</v>
      </c>
    </row>
  </sheetData>
  <mergeCells count="10">
    <mergeCell ref="A1:A2"/>
    <mergeCell ref="F1:L1"/>
    <mergeCell ref="D5:D8"/>
    <mergeCell ref="E5:E8"/>
    <mergeCell ref="B1:B2"/>
    <mergeCell ref="C1:C2"/>
    <mergeCell ref="D1:D2"/>
    <mergeCell ref="D3:D4"/>
    <mergeCell ref="E1:E2"/>
    <mergeCell ref="E3:E4"/>
  </mergeCells>
  <phoneticPr fontId="16"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
  <sheetViews>
    <sheetView workbookViewId="0">
      <pane xSplit="3" ySplit="2" topLeftCell="F3" activePane="bottomRight" state="frozen"/>
      <selection pane="topRight"/>
      <selection pane="bottomLeft"/>
      <selection pane="bottomRight" activeCell="F13" sqref="F13"/>
    </sheetView>
  </sheetViews>
  <sheetFormatPr defaultColWidth="8.85546875" defaultRowHeight="15"/>
  <cols>
    <col min="1" max="1" width="8.85546875" style="7"/>
    <col min="2" max="2" width="21.42578125" style="1" customWidth="1"/>
    <col min="3" max="3" width="41.28515625" style="2" customWidth="1"/>
    <col min="4" max="4" width="18.85546875" style="3"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14.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30">
      <c r="A3" s="8">
        <v>1</v>
      </c>
      <c r="B3" s="8" t="s">
        <v>54</v>
      </c>
      <c r="C3" s="9" t="s">
        <v>45</v>
      </c>
      <c r="D3" s="50">
        <v>45758</v>
      </c>
      <c r="E3" s="53" t="s">
        <v>55</v>
      </c>
      <c r="F3" s="17">
        <v>45728</v>
      </c>
      <c r="G3" s="17">
        <v>45735</v>
      </c>
      <c r="H3" s="17">
        <v>45735</v>
      </c>
      <c r="I3" s="17">
        <v>45735</v>
      </c>
      <c r="J3" s="17">
        <v>45758</v>
      </c>
      <c r="K3" s="17"/>
      <c r="L3" s="8"/>
    </row>
    <row r="4" spans="1:12">
      <c r="A4" s="8">
        <v>2</v>
      </c>
      <c r="B4" s="8" t="s">
        <v>58</v>
      </c>
      <c r="C4" s="9" t="s">
        <v>35</v>
      </c>
      <c r="D4" s="52"/>
      <c r="E4" s="55"/>
      <c r="F4" s="17">
        <v>45728</v>
      </c>
      <c r="G4" s="17">
        <v>45741</v>
      </c>
      <c r="H4" s="17" t="s">
        <v>56</v>
      </c>
      <c r="I4" s="17">
        <v>45741</v>
      </c>
      <c r="J4" s="17">
        <v>45758</v>
      </c>
      <c r="K4" s="17">
        <v>45813</v>
      </c>
      <c r="L4" s="8"/>
    </row>
    <row r="5" spans="1:12" ht="30">
      <c r="A5" s="8">
        <v>3</v>
      </c>
      <c r="B5" s="8" t="s">
        <v>59</v>
      </c>
      <c r="C5" s="14" t="s">
        <v>45</v>
      </c>
      <c r="D5" s="50">
        <v>45771</v>
      </c>
      <c r="E5" s="53" t="s">
        <v>50</v>
      </c>
      <c r="F5" s="17">
        <v>45727</v>
      </c>
      <c r="G5" s="17">
        <v>45735</v>
      </c>
      <c r="H5" s="17">
        <v>45735</v>
      </c>
      <c r="I5" s="17">
        <v>45735</v>
      </c>
      <c r="J5" s="17">
        <v>45772</v>
      </c>
      <c r="K5" s="17"/>
      <c r="L5" s="8"/>
    </row>
    <row r="6" spans="1:12">
      <c r="A6" s="8">
        <v>4</v>
      </c>
      <c r="B6" s="8" t="s">
        <v>60</v>
      </c>
      <c r="C6" s="9" t="s">
        <v>15</v>
      </c>
      <c r="D6" s="51"/>
      <c r="E6" s="54"/>
      <c r="F6" s="17">
        <v>45727</v>
      </c>
      <c r="G6" s="17">
        <v>45740</v>
      </c>
      <c r="H6" s="17" t="s">
        <v>56</v>
      </c>
      <c r="I6" s="17">
        <v>45740</v>
      </c>
      <c r="J6" s="17">
        <v>45772</v>
      </c>
      <c r="K6" s="17"/>
      <c r="L6" s="8"/>
    </row>
    <row r="7" spans="1:12" ht="105">
      <c r="A7" s="8">
        <v>5</v>
      </c>
      <c r="B7" s="8" t="s">
        <v>61</v>
      </c>
      <c r="C7" s="9" t="s">
        <v>35</v>
      </c>
      <c r="D7" s="52"/>
      <c r="E7" s="55"/>
      <c r="F7" s="17">
        <v>45727</v>
      </c>
      <c r="G7" s="17">
        <v>45741</v>
      </c>
      <c r="H7" s="17" t="s">
        <v>56</v>
      </c>
      <c r="I7" s="17">
        <v>45741</v>
      </c>
      <c r="J7" s="17" t="s">
        <v>65</v>
      </c>
      <c r="K7" s="17" t="s">
        <v>65</v>
      </c>
      <c r="L7" s="33" t="s">
        <v>81</v>
      </c>
    </row>
    <row r="8" spans="1:12">
      <c r="A8" s="8">
        <v>6</v>
      </c>
      <c r="B8" s="15" t="s">
        <v>66</v>
      </c>
      <c r="C8" s="14" t="s">
        <v>15</v>
      </c>
      <c r="D8" s="50">
        <v>45756</v>
      </c>
      <c r="E8" s="56" t="s">
        <v>67</v>
      </c>
      <c r="F8" s="18">
        <v>45751</v>
      </c>
      <c r="G8" s="18">
        <v>45754</v>
      </c>
      <c r="H8" s="18">
        <v>45754</v>
      </c>
      <c r="I8" s="18">
        <v>45754</v>
      </c>
      <c r="J8" s="18">
        <v>45761</v>
      </c>
      <c r="K8" s="18"/>
      <c r="L8" s="8"/>
    </row>
    <row r="9" spans="1:12" ht="30">
      <c r="A9" s="8">
        <v>7</v>
      </c>
      <c r="B9" s="15" t="s">
        <v>68</v>
      </c>
      <c r="C9" s="23" t="s">
        <v>45</v>
      </c>
      <c r="D9" s="51"/>
      <c r="E9" s="57"/>
      <c r="F9" s="16">
        <v>45751</v>
      </c>
      <c r="G9" s="16">
        <v>45754</v>
      </c>
      <c r="H9" s="16">
        <v>45754</v>
      </c>
      <c r="I9" s="16">
        <v>45754</v>
      </c>
      <c r="J9" s="16">
        <v>45762</v>
      </c>
      <c r="K9" s="16"/>
      <c r="L9" s="8"/>
    </row>
    <row r="10" spans="1:12">
      <c r="A10" s="8">
        <v>8</v>
      </c>
      <c r="B10" s="15" t="s">
        <v>69</v>
      </c>
      <c r="C10" s="9" t="s">
        <v>35</v>
      </c>
      <c r="D10" s="52"/>
      <c r="E10" s="58"/>
      <c r="F10" s="16">
        <v>45751</v>
      </c>
      <c r="G10" s="16">
        <v>45755</v>
      </c>
      <c r="H10" s="16">
        <v>45755</v>
      </c>
      <c r="I10" s="16">
        <v>45755</v>
      </c>
      <c r="J10" s="16" t="s">
        <v>65</v>
      </c>
      <c r="K10" s="16" t="s">
        <v>65</v>
      </c>
      <c r="L10" s="8" t="s">
        <v>82</v>
      </c>
    </row>
  </sheetData>
  <mergeCells count="12">
    <mergeCell ref="E8:E10"/>
    <mergeCell ref="D8:D10"/>
    <mergeCell ref="F1:K1"/>
    <mergeCell ref="D3:D4"/>
    <mergeCell ref="E3:E4"/>
    <mergeCell ref="D5:D7"/>
    <mergeCell ref="E5:E7"/>
    <mergeCell ref="A1:A2"/>
    <mergeCell ref="B1:B2"/>
    <mergeCell ref="C1:C2"/>
    <mergeCell ref="D1:D2"/>
    <mergeCell ref="E1:E2"/>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8AAE-888C-4DA0-8297-5DE59B419F26}">
  <dimension ref="A1:L23"/>
  <sheetViews>
    <sheetView zoomScaleNormal="100" workbookViewId="0">
      <pane xSplit="3" ySplit="2" topLeftCell="F18" activePane="bottomRight" state="frozen"/>
      <selection pane="topRight" activeCell="D1" sqref="D1"/>
      <selection pane="bottomLeft" activeCell="A3" sqref="A3"/>
      <selection pane="bottomRight" activeCell="C21" sqref="C21:C22"/>
    </sheetView>
  </sheetViews>
  <sheetFormatPr defaultColWidth="8.85546875" defaultRowHeight="15"/>
  <cols>
    <col min="1" max="1" width="8.85546875" style="1"/>
    <col min="2" max="2" width="21.42578125" style="1" customWidth="1"/>
    <col min="3" max="3" width="41.28515625" style="2" customWidth="1"/>
    <col min="4" max="4" width="18.855468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14.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c r="A3" s="8">
        <v>1</v>
      </c>
      <c r="B3" s="8" t="s">
        <v>71</v>
      </c>
      <c r="C3" s="9" t="s">
        <v>15</v>
      </c>
      <c r="D3" s="50">
        <v>45778</v>
      </c>
      <c r="E3" s="53" t="s">
        <v>70</v>
      </c>
      <c r="F3" s="17">
        <v>45761</v>
      </c>
      <c r="G3" s="17">
        <v>45768</v>
      </c>
      <c r="H3" s="17">
        <v>45770</v>
      </c>
      <c r="I3" s="17">
        <v>45768</v>
      </c>
      <c r="J3" s="17">
        <v>45783</v>
      </c>
      <c r="K3" s="17"/>
      <c r="L3" s="8"/>
    </row>
    <row r="4" spans="1:12" ht="30">
      <c r="A4" s="8">
        <v>2</v>
      </c>
      <c r="B4" s="8" t="s">
        <v>72</v>
      </c>
      <c r="C4" s="9" t="s">
        <v>45</v>
      </c>
      <c r="D4" s="51"/>
      <c r="E4" s="54"/>
      <c r="F4" s="16">
        <v>45761</v>
      </c>
      <c r="G4" s="16">
        <v>414664</v>
      </c>
      <c r="H4" s="16">
        <v>45768</v>
      </c>
      <c r="I4" s="16" t="s">
        <v>109</v>
      </c>
      <c r="J4" s="16">
        <v>45783</v>
      </c>
      <c r="K4" s="16"/>
      <c r="L4" s="8"/>
    </row>
    <row r="5" spans="1:12">
      <c r="A5" s="8">
        <v>3</v>
      </c>
      <c r="B5" s="8" t="s">
        <v>73</v>
      </c>
      <c r="C5" s="9" t="s">
        <v>35</v>
      </c>
      <c r="D5" s="52"/>
      <c r="E5" s="55"/>
      <c r="F5" s="16">
        <v>45761</v>
      </c>
      <c r="G5" s="16">
        <v>45768</v>
      </c>
      <c r="H5" s="16">
        <v>45768</v>
      </c>
      <c r="I5" s="16" t="s">
        <v>109</v>
      </c>
      <c r="J5" s="16">
        <v>45783</v>
      </c>
      <c r="K5" s="16">
        <v>45813</v>
      </c>
      <c r="L5" s="8"/>
    </row>
    <row r="6" spans="1:12">
      <c r="A6" s="8">
        <v>4</v>
      </c>
      <c r="B6" s="8" t="s">
        <v>74</v>
      </c>
      <c r="C6" s="9" t="s">
        <v>15</v>
      </c>
      <c r="D6" s="53" t="s">
        <v>76</v>
      </c>
      <c r="E6" s="53" t="s">
        <v>77</v>
      </c>
      <c r="F6" s="16">
        <v>45768</v>
      </c>
      <c r="G6" s="16">
        <v>45771</v>
      </c>
      <c r="H6" s="16">
        <v>45771</v>
      </c>
      <c r="I6" s="16">
        <v>45771</v>
      </c>
      <c r="J6" s="16">
        <v>45784</v>
      </c>
      <c r="K6" s="16"/>
      <c r="L6" s="8"/>
    </row>
    <row r="7" spans="1:12" ht="60">
      <c r="A7" s="8">
        <v>5</v>
      </c>
      <c r="B7" s="8" t="s">
        <v>75</v>
      </c>
      <c r="C7" s="9" t="s">
        <v>30</v>
      </c>
      <c r="D7" s="54"/>
      <c r="E7" s="54"/>
      <c r="F7" s="16">
        <v>45768</v>
      </c>
      <c r="G7" s="16">
        <v>45771</v>
      </c>
      <c r="H7" s="16">
        <v>45771</v>
      </c>
      <c r="I7" s="16" t="s">
        <v>109</v>
      </c>
      <c r="J7" s="16" t="s">
        <v>65</v>
      </c>
      <c r="K7" s="16" t="s">
        <v>65</v>
      </c>
      <c r="L7" s="8" t="s">
        <v>86</v>
      </c>
    </row>
    <row r="8" spans="1:12">
      <c r="A8" s="8">
        <v>6</v>
      </c>
      <c r="B8" s="8" t="s">
        <v>78</v>
      </c>
      <c r="C8" s="9" t="s">
        <v>79</v>
      </c>
      <c r="D8" s="55"/>
      <c r="E8" s="55"/>
      <c r="F8" s="16">
        <v>45768</v>
      </c>
      <c r="G8" s="16">
        <v>45771</v>
      </c>
      <c r="H8" s="16">
        <v>45770</v>
      </c>
      <c r="I8" s="16">
        <v>45771</v>
      </c>
      <c r="J8" s="16">
        <v>45784</v>
      </c>
      <c r="K8" s="16"/>
      <c r="L8" s="8"/>
    </row>
    <row r="9" spans="1:12">
      <c r="A9" s="8">
        <v>7</v>
      </c>
      <c r="B9" s="8" t="s">
        <v>84</v>
      </c>
      <c r="C9" s="9" t="s">
        <v>83</v>
      </c>
      <c r="D9" s="48">
        <v>45778</v>
      </c>
      <c r="E9" s="49" t="s">
        <v>70</v>
      </c>
      <c r="F9" s="16">
        <v>45770</v>
      </c>
      <c r="G9" s="16">
        <v>45772</v>
      </c>
      <c r="H9" s="16">
        <v>45772</v>
      </c>
      <c r="I9" s="16">
        <v>45772</v>
      </c>
      <c r="J9" s="16">
        <v>45783</v>
      </c>
      <c r="K9" s="16">
        <v>45813</v>
      </c>
      <c r="L9" s="8"/>
    </row>
    <row r="10" spans="1:12">
      <c r="A10" s="8">
        <v>8</v>
      </c>
      <c r="B10" s="8" t="s">
        <v>85</v>
      </c>
      <c r="C10" s="9" t="s">
        <v>21</v>
      </c>
      <c r="D10" s="48"/>
      <c r="E10" s="49"/>
      <c r="F10" s="16">
        <v>45396</v>
      </c>
      <c r="G10" s="16">
        <v>45775</v>
      </c>
      <c r="H10" s="16">
        <v>45775</v>
      </c>
      <c r="I10" s="16">
        <v>45775</v>
      </c>
      <c r="J10" s="16">
        <v>45783</v>
      </c>
      <c r="K10" s="16"/>
      <c r="L10" s="8"/>
    </row>
    <row r="11" spans="1:12" ht="45">
      <c r="A11" s="8">
        <v>9</v>
      </c>
      <c r="B11" s="8" t="s">
        <v>87</v>
      </c>
      <c r="C11" s="9" t="s">
        <v>89</v>
      </c>
      <c r="D11" s="24">
        <v>45793</v>
      </c>
      <c r="E11" s="8" t="s">
        <v>108</v>
      </c>
      <c r="F11" s="16">
        <v>45783</v>
      </c>
      <c r="G11" s="16">
        <v>45786</v>
      </c>
      <c r="H11" s="16">
        <v>45786</v>
      </c>
      <c r="I11" s="16">
        <v>45786</v>
      </c>
      <c r="J11" s="16">
        <v>45799</v>
      </c>
      <c r="K11" s="16"/>
      <c r="L11" s="8"/>
    </row>
    <row r="12" spans="1:12" ht="30">
      <c r="A12" s="8">
        <v>10</v>
      </c>
      <c r="B12" s="8" t="s">
        <v>88</v>
      </c>
      <c r="C12" s="9" t="s">
        <v>89</v>
      </c>
      <c r="D12" s="24">
        <v>45804</v>
      </c>
      <c r="E12" s="8" t="s">
        <v>90</v>
      </c>
      <c r="F12" s="16">
        <v>45783</v>
      </c>
      <c r="G12" s="16">
        <v>45786</v>
      </c>
      <c r="H12" s="16">
        <v>45786</v>
      </c>
      <c r="I12" s="16">
        <v>45786</v>
      </c>
      <c r="J12" s="16">
        <v>45806</v>
      </c>
      <c r="K12" s="16"/>
      <c r="L12" s="8"/>
    </row>
    <row r="13" spans="1:12">
      <c r="A13" s="8">
        <v>11</v>
      </c>
      <c r="B13" s="8" t="s">
        <v>91</v>
      </c>
      <c r="C13" s="9" t="s">
        <v>35</v>
      </c>
      <c r="D13" s="24">
        <v>45805</v>
      </c>
      <c r="E13" s="8" t="s">
        <v>92</v>
      </c>
      <c r="F13" s="16">
        <v>45783</v>
      </c>
      <c r="G13" s="16">
        <v>45790</v>
      </c>
      <c r="H13" s="16">
        <v>45790</v>
      </c>
      <c r="I13" s="16">
        <v>45790</v>
      </c>
      <c r="J13" s="16">
        <v>45806</v>
      </c>
      <c r="K13" s="16">
        <v>45813</v>
      </c>
      <c r="L13" s="8"/>
    </row>
    <row r="14" spans="1:12" ht="28.9" customHeight="1">
      <c r="A14" s="8">
        <v>12</v>
      </c>
      <c r="B14" s="8" t="s">
        <v>93</v>
      </c>
      <c r="C14" s="25" t="s">
        <v>45</v>
      </c>
      <c r="D14" s="50">
        <v>45793</v>
      </c>
      <c r="E14" s="53" t="s">
        <v>108</v>
      </c>
      <c r="F14" s="16">
        <v>45783</v>
      </c>
      <c r="G14" s="16">
        <v>45791</v>
      </c>
      <c r="H14" s="16">
        <v>45791</v>
      </c>
      <c r="I14" s="16">
        <v>45791</v>
      </c>
      <c r="J14" s="16">
        <v>45799</v>
      </c>
      <c r="K14" s="16"/>
      <c r="L14" s="8"/>
    </row>
    <row r="15" spans="1:12">
      <c r="A15" s="8">
        <v>13</v>
      </c>
      <c r="B15" s="8" t="s">
        <v>94</v>
      </c>
      <c r="C15" s="28" t="s">
        <v>15</v>
      </c>
      <c r="D15" s="52"/>
      <c r="E15" s="55"/>
      <c r="F15" s="16">
        <v>45791</v>
      </c>
      <c r="G15" s="16">
        <v>45792</v>
      </c>
      <c r="H15" s="16">
        <v>45792</v>
      </c>
      <c r="I15" s="16">
        <v>45792</v>
      </c>
      <c r="J15" s="16">
        <v>45799</v>
      </c>
      <c r="K15" s="16"/>
      <c r="L15" s="8"/>
    </row>
    <row r="16" spans="1:12" ht="30">
      <c r="A16" s="8">
        <v>14</v>
      </c>
      <c r="B16" s="8" t="s">
        <v>95</v>
      </c>
      <c r="C16" s="28" t="s">
        <v>15</v>
      </c>
      <c r="D16" s="24">
        <v>45800</v>
      </c>
      <c r="E16" s="8" t="s">
        <v>96</v>
      </c>
      <c r="F16" s="16">
        <v>45792</v>
      </c>
      <c r="G16" s="16">
        <v>45793</v>
      </c>
      <c r="H16" s="16">
        <v>45793</v>
      </c>
      <c r="I16" s="16">
        <v>45793</v>
      </c>
      <c r="J16" s="16">
        <v>45804</v>
      </c>
      <c r="K16" s="16"/>
      <c r="L16" s="8"/>
    </row>
    <row r="17" spans="1:12" ht="30">
      <c r="A17" s="8">
        <v>15</v>
      </c>
      <c r="B17" s="8" t="s">
        <v>97</v>
      </c>
      <c r="C17" s="28" t="s">
        <v>15</v>
      </c>
      <c r="D17" s="8" t="s">
        <v>99</v>
      </c>
      <c r="E17" s="8" t="s">
        <v>100</v>
      </c>
      <c r="F17" s="16">
        <v>45791</v>
      </c>
      <c r="G17" s="16">
        <v>45793</v>
      </c>
      <c r="H17" s="16">
        <v>45793</v>
      </c>
      <c r="I17" s="16">
        <v>45793</v>
      </c>
      <c r="J17" s="16" t="s">
        <v>65</v>
      </c>
      <c r="K17" s="16" t="s">
        <v>65</v>
      </c>
      <c r="L17" s="8" t="s">
        <v>106</v>
      </c>
    </row>
    <row r="18" spans="1:12">
      <c r="A18" s="8">
        <v>16</v>
      </c>
      <c r="B18" s="8" t="s">
        <v>98</v>
      </c>
      <c r="C18" s="28" t="s">
        <v>15</v>
      </c>
      <c r="D18" s="24">
        <v>45805</v>
      </c>
      <c r="E18" s="8" t="s">
        <v>92</v>
      </c>
      <c r="F18" s="16">
        <v>45783</v>
      </c>
      <c r="G18" s="16">
        <v>45793</v>
      </c>
      <c r="H18" s="16">
        <v>45793</v>
      </c>
      <c r="I18" s="16">
        <v>45793</v>
      </c>
      <c r="J18" s="16">
        <v>45806</v>
      </c>
      <c r="K18" s="16"/>
      <c r="L18" s="8"/>
    </row>
    <row r="19" spans="1:12" ht="30">
      <c r="A19" s="8">
        <v>17</v>
      </c>
      <c r="B19" s="8" t="s">
        <v>101</v>
      </c>
      <c r="C19" s="59" t="s">
        <v>45</v>
      </c>
      <c r="D19" s="8" t="s">
        <v>99</v>
      </c>
      <c r="E19" s="8" t="s">
        <v>100</v>
      </c>
      <c r="F19" s="16">
        <v>45791</v>
      </c>
      <c r="G19" s="16">
        <v>45793</v>
      </c>
      <c r="H19" s="16">
        <v>45793</v>
      </c>
      <c r="I19" s="16" t="s">
        <v>109</v>
      </c>
      <c r="J19" s="16" t="s">
        <v>65</v>
      </c>
      <c r="K19" s="16" t="s">
        <v>65</v>
      </c>
      <c r="L19" s="8" t="s">
        <v>106</v>
      </c>
    </row>
    <row r="20" spans="1:12">
      <c r="A20" s="8">
        <v>18</v>
      </c>
      <c r="B20" s="8" t="s">
        <v>102</v>
      </c>
      <c r="C20" s="60"/>
      <c r="D20" s="50">
        <v>45804</v>
      </c>
      <c r="E20" s="53" t="s">
        <v>90</v>
      </c>
      <c r="F20" s="16">
        <v>45783</v>
      </c>
      <c r="G20" s="16">
        <v>45798</v>
      </c>
      <c r="H20" s="16">
        <v>45798</v>
      </c>
      <c r="I20" s="16" t="s">
        <v>109</v>
      </c>
      <c r="J20" s="16">
        <v>45806</v>
      </c>
      <c r="K20" s="16"/>
      <c r="L20" s="8"/>
    </row>
    <row r="21" spans="1:12">
      <c r="A21" s="8">
        <v>19</v>
      </c>
      <c r="B21" s="27" t="s">
        <v>104</v>
      </c>
      <c r="C21" s="59" t="s">
        <v>35</v>
      </c>
      <c r="D21" s="52"/>
      <c r="E21" s="55"/>
      <c r="F21" s="16">
        <v>374509</v>
      </c>
      <c r="G21" s="16">
        <v>45798</v>
      </c>
      <c r="H21" s="16">
        <v>45798</v>
      </c>
      <c r="I21" s="16" t="s">
        <v>109</v>
      </c>
      <c r="J21" s="16">
        <v>45806</v>
      </c>
      <c r="K21" s="16">
        <v>45813</v>
      </c>
      <c r="L21" s="8"/>
    </row>
    <row r="22" spans="1:12" ht="255">
      <c r="A22" s="8">
        <v>20</v>
      </c>
      <c r="B22" s="26" t="s">
        <v>105</v>
      </c>
      <c r="C22" s="60"/>
      <c r="D22" s="24">
        <v>45800</v>
      </c>
      <c r="E22" s="8" t="s">
        <v>96</v>
      </c>
      <c r="F22" s="16">
        <v>45791</v>
      </c>
      <c r="G22" s="16">
        <v>45798</v>
      </c>
      <c r="H22" s="16">
        <v>45798</v>
      </c>
      <c r="I22" s="16" t="s">
        <v>109</v>
      </c>
      <c r="J22" s="16" t="s">
        <v>140</v>
      </c>
      <c r="K22" s="16" t="s">
        <v>140</v>
      </c>
      <c r="L22" s="8" t="s">
        <v>148</v>
      </c>
    </row>
    <row r="23" spans="1:12" ht="30">
      <c r="A23" s="8">
        <v>21</v>
      </c>
      <c r="B23" s="29" t="s">
        <v>107</v>
      </c>
      <c r="C23" s="9" t="s">
        <v>45</v>
      </c>
      <c r="D23" s="24">
        <v>45805</v>
      </c>
      <c r="E23" s="8" t="s">
        <v>92</v>
      </c>
      <c r="F23" s="16">
        <v>45784</v>
      </c>
      <c r="G23" s="16">
        <v>45799</v>
      </c>
      <c r="H23" s="16">
        <v>45799</v>
      </c>
      <c r="I23" s="16">
        <v>45799</v>
      </c>
      <c r="J23" s="16">
        <v>45806</v>
      </c>
      <c r="K23" s="16"/>
      <c r="L23" s="8"/>
    </row>
  </sheetData>
  <mergeCells count="18">
    <mergeCell ref="F1:K1"/>
    <mergeCell ref="A1:A2"/>
    <mergeCell ref="D20:D21"/>
    <mergeCell ref="E20:E21"/>
    <mergeCell ref="B1:B2"/>
    <mergeCell ref="C1:C2"/>
    <mergeCell ref="D1:D2"/>
    <mergeCell ref="E1:E2"/>
    <mergeCell ref="D14:D15"/>
    <mergeCell ref="D9:D10"/>
    <mergeCell ref="E9:E10"/>
    <mergeCell ref="D6:D8"/>
    <mergeCell ref="E6:E8"/>
    <mergeCell ref="C19:C20"/>
    <mergeCell ref="C21:C22"/>
    <mergeCell ref="E14:E15"/>
    <mergeCell ref="D3:D5"/>
    <mergeCell ref="E3:E5"/>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B9DD-1050-4210-93B4-CF78268AC5AF}">
  <dimension ref="A1:L29"/>
  <sheetViews>
    <sheetView workbookViewId="0">
      <pane xSplit="3" ySplit="2" topLeftCell="F24" activePane="bottomRight" state="frozen"/>
      <selection pane="topRight"/>
      <selection pane="bottomLeft"/>
      <selection pane="bottomRight" activeCell="C33" sqref="C33"/>
    </sheetView>
  </sheetViews>
  <sheetFormatPr defaultColWidth="8.85546875" defaultRowHeight="15"/>
  <cols>
    <col min="1" max="1" width="8.85546875" style="1"/>
    <col min="2" max="2" width="21.42578125" style="1" customWidth="1"/>
    <col min="3" max="3" width="41.28515625" style="2" customWidth="1"/>
    <col min="4" max="4" width="18.855468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45">
      <c r="A3" s="8">
        <v>1</v>
      </c>
      <c r="B3" s="8" t="s">
        <v>110</v>
      </c>
      <c r="C3" s="9" t="s">
        <v>35</v>
      </c>
      <c r="D3" s="8" t="s">
        <v>125</v>
      </c>
      <c r="E3" s="8" t="s">
        <v>111</v>
      </c>
      <c r="F3" s="16">
        <v>45800</v>
      </c>
      <c r="G3" s="30">
        <v>45803</v>
      </c>
      <c r="H3" s="16">
        <v>45803</v>
      </c>
      <c r="I3" s="16"/>
      <c r="J3" s="16">
        <v>45824</v>
      </c>
      <c r="K3" s="16"/>
      <c r="L3" s="9"/>
    </row>
    <row r="4" spans="1:12" ht="105">
      <c r="A4" s="8">
        <v>2</v>
      </c>
      <c r="B4" s="8" t="s">
        <v>112</v>
      </c>
      <c r="C4" s="9" t="s">
        <v>35</v>
      </c>
      <c r="D4" s="8" t="s">
        <v>113</v>
      </c>
      <c r="E4" s="9" t="s">
        <v>114</v>
      </c>
      <c r="F4" s="16">
        <v>45800</v>
      </c>
      <c r="G4" s="16">
        <v>45803</v>
      </c>
      <c r="H4" s="16">
        <v>45803</v>
      </c>
      <c r="I4" s="16"/>
      <c r="J4" s="32" t="s">
        <v>65</v>
      </c>
      <c r="K4" s="32" t="s">
        <v>65</v>
      </c>
      <c r="L4" s="33" t="s">
        <v>154</v>
      </c>
    </row>
    <row r="5" spans="1:12" ht="45">
      <c r="A5" s="8">
        <v>3</v>
      </c>
      <c r="B5" s="8" t="s">
        <v>115</v>
      </c>
      <c r="C5" s="28" t="s">
        <v>15</v>
      </c>
      <c r="D5" s="8" t="s">
        <v>125</v>
      </c>
      <c r="E5" s="8" t="s">
        <v>111</v>
      </c>
      <c r="F5" s="16">
        <v>45800</v>
      </c>
      <c r="G5" s="16">
        <v>45806</v>
      </c>
      <c r="H5" s="16">
        <v>45806</v>
      </c>
      <c r="I5" s="16">
        <v>45806</v>
      </c>
      <c r="J5" s="16">
        <v>45824</v>
      </c>
      <c r="K5" s="16"/>
      <c r="L5" s="9"/>
    </row>
    <row r="6" spans="1:12" ht="30">
      <c r="A6" s="8">
        <v>4</v>
      </c>
      <c r="B6" s="8" t="s">
        <v>116</v>
      </c>
      <c r="C6" s="28" t="s">
        <v>15</v>
      </c>
      <c r="D6" s="24">
        <v>45812</v>
      </c>
      <c r="E6" s="8" t="s">
        <v>119</v>
      </c>
      <c r="F6" s="16">
        <v>45806</v>
      </c>
      <c r="G6" s="16">
        <v>45810</v>
      </c>
      <c r="H6" s="16">
        <v>45810</v>
      </c>
      <c r="I6" s="16">
        <v>45810</v>
      </c>
      <c r="J6" s="16">
        <v>45814</v>
      </c>
      <c r="K6" s="16"/>
      <c r="L6" s="9"/>
    </row>
    <row r="7" spans="1:12" ht="30">
      <c r="A7" s="8">
        <v>5</v>
      </c>
      <c r="B7" s="8" t="s">
        <v>117</v>
      </c>
      <c r="C7" s="9" t="s">
        <v>15</v>
      </c>
      <c r="D7" s="24">
        <v>45819</v>
      </c>
      <c r="E7" s="8" t="s">
        <v>118</v>
      </c>
      <c r="F7" s="16">
        <v>45806</v>
      </c>
      <c r="G7" s="16">
        <v>45810</v>
      </c>
      <c r="H7" s="16">
        <v>45810</v>
      </c>
      <c r="I7" s="16">
        <v>45810</v>
      </c>
      <c r="J7" s="16">
        <v>45821</v>
      </c>
      <c r="K7" s="16"/>
      <c r="L7" s="9"/>
    </row>
    <row r="8" spans="1:12" ht="30">
      <c r="A8" s="8">
        <v>6</v>
      </c>
      <c r="B8" s="8" t="s">
        <v>120</v>
      </c>
      <c r="C8" s="9" t="s">
        <v>45</v>
      </c>
      <c r="D8" s="24">
        <v>45812</v>
      </c>
      <c r="E8" s="8" t="s">
        <v>119</v>
      </c>
      <c r="F8" s="16">
        <v>45806</v>
      </c>
      <c r="G8" s="16">
        <v>45811</v>
      </c>
      <c r="H8" s="16">
        <v>45811</v>
      </c>
      <c r="I8" s="16"/>
      <c r="J8" s="16">
        <v>45814</v>
      </c>
      <c r="K8" s="16"/>
      <c r="L8" s="8"/>
    </row>
    <row r="9" spans="1:12" ht="30">
      <c r="A9" s="8">
        <v>7</v>
      </c>
      <c r="B9" s="8" t="s">
        <v>121</v>
      </c>
      <c r="C9" s="9" t="s">
        <v>45</v>
      </c>
      <c r="D9" s="24">
        <v>45813</v>
      </c>
      <c r="E9" s="8" t="s">
        <v>123</v>
      </c>
      <c r="F9" s="16">
        <v>45806</v>
      </c>
      <c r="G9" s="16">
        <v>45811</v>
      </c>
      <c r="H9" s="16">
        <v>45811</v>
      </c>
      <c r="I9" s="16"/>
      <c r="J9" s="16">
        <v>45824</v>
      </c>
      <c r="K9" s="16"/>
      <c r="L9" s="8"/>
    </row>
    <row r="10" spans="1:12" ht="30">
      <c r="A10" s="8">
        <v>8</v>
      </c>
      <c r="B10" s="8" t="s">
        <v>122</v>
      </c>
      <c r="C10" s="9" t="s">
        <v>45</v>
      </c>
      <c r="D10" s="24">
        <v>45819</v>
      </c>
      <c r="E10" s="8" t="s">
        <v>118</v>
      </c>
      <c r="F10" s="16">
        <v>45806</v>
      </c>
      <c r="G10" s="16">
        <v>45811</v>
      </c>
      <c r="H10" s="16">
        <v>45811</v>
      </c>
      <c r="I10" s="16"/>
      <c r="J10" s="16">
        <v>45821</v>
      </c>
      <c r="K10" s="16"/>
      <c r="L10" s="8"/>
    </row>
    <row r="11" spans="1:12">
      <c r="A11" s="8">
        <v>9</v>
      </c>
      <c r="B11" s="8" t="s">
        <v>124</v>
      </c>
      <c r="C11" s="9" t="s">
        <v>15</v>
      </c>
      <c r="D11" s="24">
        <v>45831</v>
      </c>
      <c r="E11" s="8" t="s">
        <v>126</v>
      </c>
      <c r="F11" s="16">
        <v>45805</v>
      </c>
      <c r="G11" s="16">
        <v>45811</v>
      </c>
      <c r="H11" s="16">
        <v>45811</v>
      </c>
      <c r="I11" s="16">
        <v>45811</v>
      </c>
      <c r="J11" s="16">
        <v>45831</v>
      </c>
      <c r="K11" s="16"/>
      <c r="L11" s="8"/>
    </row>
    <row r="12" spans="1:12" ht="30">
      <c r="A12" s="8">
        <v>10</v>
      </c>
      <c r="B12" s="8" t="s">
        <v>127</v>
      </c>
      <c r="C12" s="9" t="s">
        <v>128</v>
      </c>
      <c r="D12" s="24">
        <v>45812</v>
      </c>
      <c r="E12" s="8" t="s">
        <v>119</v>
      </c>
      <c r="F12" s="16">
        <v>45810</v>
      </c>
      <c r="G12" s="16">
        <v>45812</v>
      </c>
      <c r="H12" s="16"/>
      <c r="I12" s="16"/>
      <c r="J12" s="16">
        <v>45814</v>
      </c>
      <c r="K12" s="16"/>
      <c r="L12" s="8"/>
    </row>
    <row r="13" spans="1:12">
      <c r="A13" s="8">
        <v>11</v>
      </c>
      <c r="B13" s="8" t="s">
        <v>129</v>
      </c>
      <c r="C13" s="9" t="s">
        <v>35</v>
      </c>
      <c r="D13" s="24">
        <v>45820</v>
      </c>
      <c r="E13" s="8" t="s">
        <v>130</v>
      </c>
      <c r="F13" s="16">
        <v>45810</v>
      </c>
      <c r="G13" s="16">
        <v>45812</v>
      </c>
      <c r="H13" s="16">
        <v>45812</v>
      </c>
      <c r="I13" s="16"/>
      <c r="J13" s="16">
        <v>45824</v>
      </c>
      <c r="K13" s="16"/>
      <c r="L13" s="8"/>
    </row>
    <row r="14" spans="1:12" ht="30">
      <c r="A14" s="8">
        <v>12</v>
      </c>
      <c r="B14" s="8" t="s">
        <v>131</v>
      </c>
      <c r="C14" s="9" t="s">
        <v>45</v>
      </c>
      <c r="D14" s="24">
        <v>45820</v>
      </c>
      <c r="E14" s="8" t="s">
        <v>130</v>
      </c>
      <c r="F14" s="16">
        <v>45810</v>
      </c>
      <c r="G14" s="16">
        <v>45812</v>
      </c>
      <c r="H14" s="16">
        <v>45812</v>
      </c>
      <c r="I14" s="16"/>
      <c r="J14" s="16">
        <v>45824</v>
      </c>
      <c r="K14" s="16"/>
      <c r="L14" s="8"/>
    </row>
    <row r="15" spans="1:12" ht="45">
      <c r="A15" s="8">
        <v>13</v>
      </c>
      <c r="B15" s="8" t="s">
        <v>132</v>
      </c>
      <c r="C15" s="9" t="s">
        <v>45</v>
      </c>
      <c r="D15" s="8" t="s">
        <v>125</v>
      </c>
      <c r="E15" s="8" t="s">
        <v>111</v>
      </c>
      <c r="F15" s="16">
        <v>45800</v>
      </c>
      <c r="G15" s="16">
        <v>45812</v>
      </c>
      <c r="H15" s="16">
        <v>45812</v>
      </c>
      <c r="I15" s="16"/>
      <c r="J15" s="16">
        <v>45824</v>
      </c>
      <c r="K15" s="16"/>
      <c r="L15" s="8"/>
    </row>
    <row r="16" spans="1:12" ht="30">
      <c r="A16" s="8">
        <v>14</v>
      </c>
      <c r="B16" s="8" t="s">
        <v>133</v>
      </c>
      <c r="C16" s="9" t="s">
        <v>45</v>
      </c>
      <c r="D16" s="24">
        <v>45827</v>
      </c>
      <c r="E16" s="8" t="s">
        <v>134</v>
      </c>
      <c r="F16" s="16">
        <v>45805</v>
      </c>
      <c r="G16" s="16">
        <v>45812</v>
      </c>
      <c r="H16" s="16">
        <v>45812</v>
      </c>
      <c r="I16" s="16"/>
      <c r="J16" s="16">
        <v>45831</v>
      </c>
      <c r="K16" s="16"/>
      <c r="L16" s="8"/>
    </row>
    <row r="17" spans="1:12" ht="30">
      <c r="A17" s="8">
        <v>15</v>
      </c>
      <c r="B17" s="8" t="s">
        <v>135</v>
      </c>
      <c r="C17" s="9" t="s">
        <v>45</v>
      </c>
      <c r="D17" s="8" t="s">
        <v>113</v>
      </c>
      <c r="E17" s="8" t="s">
        <v>114</v>
      </c>
      <c r="F17" s="16">
        <v>45800</v>
      </c>
      <c r="G17" s="16">
        <v>45812</v>
      </c>
      <c r="H17" s="16">
        <v>45812</v>
      </c>
      <c r="I17" s="16"/>
      <c r="J17" s="16">
        <v>45831</v>
      </c>
      <c r="K17" s="16"/>
      <c r="L17" s="8"/>
    </row>
    <row r="18" spans="1:12">
      <c r="A18" s="8">
        <v>16</v>
      </c>
      <c r="B18" s="8" t="s">
        <v>136</v>
      </c>
      <c r="C18" s="9" t="s">
        <v>15</v>
      </c>
      <c r="D18" s="24">
        <v>45827</v>
      </c>
      <c r="E18" s="8" t="s">
        <v>134</v>
      </c>
      <c r="F18" s="16">
        <v>45805</v>
      </c>
      <c r="G18" s="16">
        <v>45813</v>
      </c>
      <c r="H18" s="16">
        <v>45813</v>
      </c>
      <c r="I18" s="16"/>
      <c r="J18" s="16">
        <v>45831</v>
      </c>
      <c r="K18" s="16"/>
      <c r="L18" s="8"/>
    </row>
    <row r="19" spans="1:12" ht="45">
      <c r="A19" s="8">
        <v>17</v>
      </c>
      <c r="B19" s="8" t="s">
        <v>137</v>
      </c>
      <c r="C19" s="9" t="s">
        <v>89</v>
      </c>
      <c r="D19" s="8" t="s">
        <v>125</v>
      </c>
      <c r="E19" s="8" t="s">
        <v>111</v>
      </c>
      <c r="F19" s="16">
        <v>45800</v>
      </c>
      <c r="G19" s="16">
        <v>45813</v>
      </c>
      <c r="H19" s="16">
        <v>45813</v>
      </c>
      <c r="I19" s="16"/>
      <c r="J19" s="16">
        <v>45824</v>
      </c>
      <c r="K19" s="16"/>
      <c r="L19" s="8"/>
    </row>
    <row r="20" spans="1:12">
      <c r="A20" s="8">
        <v>18</v>
      </c>
      <c r="B20" s="8" t="s">
        <v>138</v>
      </c>
      <c r="C20" s="9" t="s">
        <v>15</v>
      </c>
      <c r="D20" s="24">
        <v>45820</v>
      </c>
      <c r="E20" s="8" t="s">
        <v>130</v>
      </c>
      <c r="F20" s="16">
        <v>45810</v>
      </c>
      <c r="G20" s="16">
        <v>45813</v>
      </c>
      <c r="H20" s="16">
        <v>45813</v>
      </c>
      <c r="I20" s="16">
        <v>45813</v>
      </c>
      <c r="J20" s="16">
        <v>45824</v>
      </c>
      <c r="K20" s="16"/>
      <c r="L20" s="8"/>
    </row>
    <row r="21" spans="1:12" ht="30">
      <c r="A21" s="8">
        <v>19</v>
      </c>
      <c r="B21" s="8" t="s">
        <v>139</v>
      </c>
      <c r="C21" s="9" t="s">
        <v>21</v>
      </c>
      <c r="D21" s="24">
        <v>45819</v>
      </c>
      <c r="E21" s="31" t="s">
        <v>118</v>
      </c>
      <c r="F21" s="16">
        <v>45813</v>
      </c>
      <c r="G21" s="16">
        <v>45817</v>
      </c>
      <c r="H21" s="16"/>
      <c r="I21" s="16"/>
      <c r="J21" s="16">
        <v>45821</v>
      </c>
      <c r="K21" s="16"/>
      <c r="L21" s="8"/>
    </row>
    <row r="22" spans="1:12" ht="45">
      <c r="A22" s="8">
        <v>20</v>
      </c>
      <c r="B22" s="8" t="s">
        <v>141</v>
      </c>
      <c r="C22" s="9" t="s">
        <v>21</v>
      </c>
      <c r="D22" s="8" t="s">
        <v>125</v>
      </c>
      <c r="E22" s="8" t="s">
        <v>111</v>
      </c>
      <c r="F22" s="16">
        <v>45817</v>
      </c>
      <c r="G22" s="16">
        <v>45818</v>
      </c>
      <c r="H22" s="16"/>
      <c r="I22" s="16"/>
      <c r="J22" s="16">
        <v>45824</v>
      </c>
      <c r="K22" s="16"/>
      <c r="L22" s="8"/>
    </row>
    <row r="23" spans="1:12" ht="45">
      <c r="A23" s="8">
        <v>21</v>
      </c>
      <c r="B23" s="8" t="s">
        <v>142</v>
      </c>
      <c r="C23" s="9" t="s">
        <v>21</v>
      </c>
      <c r="D23" s="24">
        <v>45829</v>
      </c>
      <c r="E23" s="8" t="s">
        <v>143</v>
      </c>
      <c r="F23" s="16">
        <v>45818</v>
      </c>
      <c r="G23" s="16">
        <v>45818</v>
      </c>
      <c r="H23" s="16"/>
      <c r="I23" s="16"/>
      <c r="J23" s="32" t="s">
        <v>65</v>
      </c>
      <c r="K23" s="32" t="s">
        <v>65</v>
      </c>
      <c r="L23" s="33" t="s">
        <v>152</v>
      </c>
    </row>
    <row r="24" spans="1:12">
      <c r="A24" s="8">
        <v>22</v>
      </c>
      <c r="B24" s="8" t="s">
        <v>144</v>
      </c>
      <c r="C24" s="9" t="s">
        <v>21</v>
      </c>
      <c r="D24" s="24">
        <v>45831</v>
      </c>
      <c r="E24" s="8" t="s">
        <v>126</v>
      </c>
      <c r="F24" s="16">
        <v>45819</v>
      </c>
      <c r="G24" s="16">
        <v>45819</v>
      </c>
      <c r="H24" s="16"/>
      <c r="I24" s="16"/>
      <c r="J24" s="16">
        <v>45831</v>
      </c>
      <c r="K24" s="16"/>
      <c r="L24" s="8"/>
    </row>
    <row r="25" spans="1:12" ht="30">
      <c r="A25" s="8">
        <v>23</v>
      </c>
      <c r="B25" s="8" t="s">
        <v>145</v>
      </c>
      <c r="C25" s="9" t="s">
        <v>79</v>
      </c>
      <c r="D25" s="24">
        <v>45829</v>
      </c>
      <c r="E25" s="8" t="s">
        <v>143</v>
      </c>
      <c r="F25" s="16">
        <v>45818</v>
      </c>
      <c r="G25" s="16">
        <v>45819</v>
      </c>
      <c r="H25" s="16">
        <v>45819</v>
      </c>
      <c r="I25" s="16">
        <v>45819</v>
      </c>
      <c r="J25" s="16">
        <v>45831</v>
      </c>
      <c r="K25" s="16"/>
      <c r="L25" s="8"/>
    </row>
    <row r="26" spans="1:12" ht="30">
      <c r="A26" s="8">
        <v>24</v>
      </c>
      <c r="B26" s="8" t="s">
        <v>146</v>
      </c>
      <c r="C26" s="9" t="s">
        <v>45</v>
      </c>
      <c r="D26" s="24">
        <v>45829</v>
      </c>
      <c r="E26" s="8" t="s">
        <v>143</v>
      </c>
      <c r="F26" s="16">
        <v>45818</v>
      </c>
      <c r="G26" s="16">
        <v>45824</v>
      </c>
      <c r="H26" s="16">
        <v>45824</v>
      </c>
      <c r="I26" s="16"/>
      <c r="J26" s="32" t="s">
        <v>65</v>
      </c>
      <c r="K26" s="32" t="s">
        <v>65</v>
      </c>
      <c r="L26" s="33" t="s">
        <v>153</v>
      </c>
    </row>
    <row r="27" spans="1:12" ht="30">
      <c r="A27" s="8">
        <v>25</v>
      </c>
      <c r="B27" s="8" t="s">
        <v>147</v>
      </c>
      <c r="C27" s="9" t="s">
        <v>45</v>
      </c>
      <c r="D27" s="24">
        <v>45831</v>
      </c>
      <c r="E27" s="8" t="s">
        <v>126</v>
      </c>
      <c r="F27" s="16">
        <v>45805</v>
      </c>
      <c r="G27" s="16">
        <v>45824</v>
      </c>
      <c r="H27" s="16">
        <v>45824</v>
      </c>
      <c r="I27" s="16"/>
      <c r="J27" s="16">
        <v>45831</v>
      </c>
      <c r="K27" s="16"/>
      <c r="L27" s="8"/>
    </row>
    <row r="28" spans="1:12" ht="255">
      <c r="A28" s="8">
        <v>26</v>
      </c>
      <c r="B28" s="8" t="s">
        <v>149</v>
      </c>
      <c r="C28" s="9" t="s">
        <v>150</v>
      </c>
      <c r="D28" s="24">
        <v>45831</v>
      </c>
      <c r="E28" s="8" t="s">
        <v>126</v>
      </c>
      <c r="F28" s="16">
        <v>45821</v>
      </c>
      <c r="G28" s="16">
        <v>45826</v>
      </c>
      <c r="H28" s="16">
        <v>45826</v>
      </c>
      <c r="I28" s="16"/>
      <c r="J28" s="16" t="s">
        <v>65</v>
      </c>
      <c r="K28" s="16" t="s">
        <v>65</v>
      </c>
      <c r="L28" s="8" t="s">
        <v>148</v>
      </c>
    </row>
    <row r="29" spans="1:12" ht="30">
      <c r="A29" s="8">
        <v>27</v>
      </c>
      <c r="B29" s="8" t="s">
        <v>151</v>
      </c>
      <c r="C29" s="9" t="s">
        <v>128</v>
      </c>
      <c r="D29" s="24">
        <v>45829</v>
      </c>
      <c r="E29" s="8" t="s">
        <v>143</v>
      </c>
      <c r="F29" s="16">
        <v>45817</v>
      </c>
      <c r="G29" s="16">
        <v>45828</v>
      </c>
      <c r="H29" s="16">
        <v>45828</v>
      </c>
      <c r="I29" s="16"/>
      <c r="J29" s="16">
        <v>45831</v>
      </c>
      <c r="K29" s="16"/>
      <c r="L29" s="8"/>
    </row>
  </sheetData>
  <mergeCells count="6">
    <mergeCell ref="F1:K1"/>
    <mergeCell ref="A1:A2"/>
    <mergeCell ref="B1:B2"/>
    <mergeCell ref="C1:C2"/>
    <mergeCell ref="D1:D2"/>
    <mergeCell ref="E1:E2"/>
  </mergeCells>
  <phoneticPr fontId="19"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0BF3-B3A7-4924-A94C-5E5E8206B26B}">
  <dimension ref="A1:L11"/>
  <sheetViews>
    <sheetView workbookViewId="0">
      <pane xSplit="3" ySplit="2" topLeftCell="F3" activePane="bottomRight" state="frozen"/>
      <selection pane="topRight"/>
      <selection pane="bottomLeft"/>
      <selection pane="bottomRight" activeCell="H13" sqref="H13"/>
    </sheetView>
  </sheetViews>
  <sheetFormatPr defaultColWidth="8.85546875" defaultRowHeight="15"/>
  <cols>
    <col min="1" max="1" width="8.85546875" style="1"/>
    <col min="2" max="2" width="21.42578125" style="1" customWidth="1"/>
    <col min="3" max="3" width="41.28515625" style="2" customWidth="1"/>
    <col min="4" max="4" width="18.855468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30">
      <c r="A3" s="8">
        <v>1</v>
      </c>
      <c r="B3" s="8" t="s">
        <v>155</v>
      </c>
      <c r="C3" s="9" t="s">
        <v>45</v>
      </c>
      <c r="D3" s="24">
        <v>45839</v>
      </c>
      <c r="E3" s="8" t="s">
        <v>156</v>
      </c>
      <c r="F3" s="16">
        <v>45826</v>
      </c>
      <c r="G3" s="30">
        <v>45835</v>
      </c>
      <c r="H3" s="30">
        <v>45835</v>
      </c>
      <c r="I3" s="16" t="s">
        <v>109</v>
      </c>
      <c r="J3" s="16">
        <v>45839</v>
      </c>
      <c r="K3" s="16"/>
      <c r="L3" s="9"/>
    </row>
    <row r="4" spans="1:12" ht="30">
      <c r="A4" s="8">
        <v>2</v>
      </c>
      <c r="B4" s="8" t="s">
        <v>157</v>
      </c>
      <c r="C4" s="9" t="s">
        <v>45</v>
      </c>
      <c r="D4" s="24">
        <v>45846</v>
      </c>
      <c r="E4" s="8" t="s">
        <v>158</v>
      </c>
      <c r="F4" s="16">
        <v>45828</v>
      </c>
      <c r="G4" s="16">
        <v>45835</v>
      </c>
      <c r="H4" s="16">
        <v>45835</v>
      </c>
      <c r="I4" s="16" t="s">
        <v>109</v>
      </c>
      <c r="J4" s="32">
        <v>45847</v>
      </c>
      <c r="K4" s="32"/>
      <c r="L4" s="33"/>
    </row>
    <row r="5" spans="1:12" ht="30">
      <c r="A5" s="8">
        <v>3</v>
      </c>
      <c r="B5" s="8" t="s">
        <v>159</v>
      </c>
      <c r="C5" s="9" t="s">
        <v>15</v>
      </c>
      <c r="D5" s="24">
        <v>45846</v>
      </c>
      <c r="E5" s="8" t="s">
        <v>158</v>
      </c>
      <c r="F5" s="16">
        <v>45840</v>
      </c>
      <c r="G5" s="16">
        <v>45840</v>
      </c>
      <c r="H5" s="16">
        <v>45840</v>
      </c>
      <c r="I5" s="16">
        <v>45840</v>
      </c>
      <c r="J5" s="16">
        <v>45847</v>
      </c>
      <c r="K5" s="16"/>
      <c r="L5" s="9"/>
    </row>
    <row r="6" spans="1:12" ht="30">
      <c r="A6" s="8">
        <v>4</v>
      </c>
      <c r="B6" s="8" t="s">
        <v>160</v>
      </c>
      <c r="C6" s="28" t="s">
        <v>15</v>
      </c>
      <c r="D6" s="24">
        <v>45860</v>
      </c>
      <c r="E6" s="8" t="s">
        <v>161</v>
      </c>
      <c r="F6" s="16">
        <v>45833</v>
      </c>
      <c r="G6" s="16">
        <v>45852</v>
      </c>
      <c r="H6" s="16" t="s">
        <v>109</v>
      </c>
      <c r="I6" s="16">
        <v>45852</v>
      </c>
      <c r="J6" s="16">
        <v>45861</v>
      </c>
      <c r="K6" s="16"/>
      <c r="L6" s="9"/>
    </row>
    <row r="7" spans="1:12" ht="30">
      <c r="A7" s="8">
        <v>5</v>
      </c>
      <c r="B7" s="8" t="s">
        <v>164</v>
      </c>
      <c r="C7" s="9" t="s">
        <v>79</v>
      </c>
      <c r="D7" s="24">
        <v>45868</v>
      </c>
      <c r="E7" s="8" t="s">
        <v>31</v>
      </c>
      <c r="F7" s="16">
        <v>45849</v>
      </c>
      <c r="G7" s="16">
        <v>45854</v>
      </c>
      <c r="H7" s="16">
        <v>45854</v>
      </c>
      <c r="I7" s="16">
        <v>45854</v>
      </c>
      <c r="J7" s="16">
        <v>45869</v>
      </c>
      <c r="K7" s="16"/>
      <c r="L7" s="9"/>
    </row>
    <row r="8" spans="1:12" ht="30">
      <c r="A8" s="8">
        <v>6</v>
      </c>
      <c r="B8" s="8" t="s">
        <v>163</v>
      </c>
      <c r="C8" s="9" t="s">
        <v>45</v>
      </c>
      <c r="D8" s="24">
        <v>45860</v>
      </c>
      <c r="E8" s="8" t="s">
        <v>161</v>
      </c>
      <c r="F8" s="16">
        <v>45833</v>
      </c>
      <c r="G8" s="16">
        <v>45855</v>
      </c>
      <c r="H8" s="16">
        <v>45855</v>
      </c>
      <c r="I8" s="16" t="s">
        <v>109</v>
      </c>
      <c r="J8" s="16">
        <v>45861</v>
      </c>
      <c r="K8" s="16"/>
      <c r="L8" s="8"/>
    </row>
    <row r="9" spans="1:12" ht="30">
      <c r="A9" s="8">
        <v>7</v>
      </c>
      <c r="B9" s="8" t="s">
        <v>162</v>
      </c>
      <c r="C9" s="9" t="s">
        <v>45</v>
      </c>
      <c r="D9" s="24">
        <v>45868</v>
      </c>
      <c r="E9" s="8" t="s">
        <v>31</v>
      </c>
      <c r="F9" s="16">
        <v>45849</v>
      </c>
      <c r="G9" s="16">
        <v>45862</v>
      </c>
      <c r="H9" s="16">
        <v>45863</v>
      </c>
      <c r="I9" s="16"/>
      <c r="J9" s="16">
        <v>45869</v>
      </c>
      <c r="K9" s="16"/>
      <c r="L9" s="8"/>
    </row>
    <row r="10" spans="1:12" ht="30">
      <c r="A10" s="8">
        <v>8</v>
      </c>
      <c r="B10" s="8" t="s">
        <v>165</v>
      </c>
      <c r="C10" s="9" t="s">
        <v>35</v>
      </c>
      <c r="D10" s="24">
        <v>45868</v>
      </c>
      <c r="E10" s="8" t="s">
        <v>31</v>
      </c>
      <c r="F10" s="16">
        <v>45859</v>
      </c>
      <c r="G10" s="16">
        <v>45863</v>
      </c>
      <c r="H10" s="16">
        <v>45863</v>
      </c>
      <c r="I10" s="16"/>
      <c r="J10" s="16">
        <v>45869</v>
      </c>
      <c r="K10" s="16"/>
      <c r="L10" s="8"/>
    </row>
    <row r="11" spans="1:12" ht="30">
      <c r="A11" s="8">
        <v>9</v>
      </c>
      <c r="B11" s="8" t="s">
        <v>166</v>
      </c>
      <c r="C11" s="9" t="s">
        <v>15</v>
      </c>
      <c r="D11" s="24">
        <v>45868</v>
      </c>
      <c r="E11" s="8" t="s">
        <v>31</v>
      </c>
      <c r="F11" s="16">
        <v>45859</v>
      </c>
      <c r="G11" s="16">
        <v>45863</v>
      </c>
      <c r="H11" s="16"/>
      <c r="I11" s="16">
        <v>45863</v>
      </c>
      <c r="J11" s="16">
        <v>45869</v>
      </c>
      <c r="K11" s="16"/>
      <c r="L11" s="8"/>
    </row>
  </sheetData>
  <mergeCells count="6">
    <mergeCell ref="F1:K1"/>
    <mergeCell ref="A1:A2"/>
    <mergeCell ref="B1:B2"/>
    <mergeCell ref="C1:C2"/>
    <mergeCell ref="D1:D2"/>
    <mergeCell ref="E1:E2"/>
  </mergeCells>
  <phoneticPr fontId="2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2935-5434-444C-A003-F664E0627AB4}">
  <dimension ref="A1:L28"/>
  <sheetViews>
    <sheetView workbookViewId="0">
      <pane xSplit="3" ySplit="2" topLeftCell="D24" activePane="bottomRight" state="frozen"/>
      <selection pane="topRight"/>
      <selection pane="bottomLeft"/>
      <selection pane="bottomRight" activeCell="C27" sqref="C27"/>
    </sheetView>
  </sheetViews>
  <sheetFormatPr defaultColWidth="8.85546875" defaultRowHeight="15"/>
  <cols>
    <col min="1" max="1" width="8.85546875" style="1"/>
    <col min="2" max="2" width="21.42578125" style="1" customWidth="1"/>
    <col min="3" max="3" width="41.28515625" style="2" customWidth="1"/>
    <col min="4" max="4" width="18.855468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30">
      <c r="A3" s="8">
        <v>1</v>
      </c>
      <c r="B3" s="8" t="s">
        <v>167</v>
      </c>
      <c r="C3" s="9" t="s">
        <v>45</v>
      </c>
      <c r="D3" s="24">
        <v>45870</v>
      </c>
      <c r="E3" s="8" t="s">
        <v>168</v>
      </c>
      <c r="F3" s="16">
        <v>45859</v>
      </c>
      <c r="G3" s="30">
        <v>45867</v>
      </c>
      <c r="H3" s="30">
        <v>45867</v>
      </c>
      <c r="I3" s="16"/>
      <c r="J3" s="16">
        <v>45875</v>
      </c>
      <c r="L3" s="9"/>
    </row>
    <row r="4" spans="1:12" ht="75">
      <c r="A4" s="8">
        <v>2</v>
      </c>
      <c r="B4" s="8" t="s">
        <v>169</v>
      </c>
      <c r="C4" s="9" t="s">
        <v>170</v>
      </c>
      <c r="D4" s="24">
        <v>45870</v>
      </c>
      <c r="E4" s="8" t="s">
        <v>168</v>
      </c>
      <c r="F4" s="16">
        <v>45867</v>
      </c>
      <c r="G4" s="16">
        <v>45868</v>
      </c>
      <c r="H4" s="16">
        <v>45868</v>
      </c>
      <c r="I4" s="16"/>
      <c r="J4" s="35" t="s">
        <v>200</v>
      </c>
      <c r="K4" s="32"/>
      <c r="L4" s="34" t="s">
        <v>199</v>
      </c>
    </row>
    <row r="5" spans="1:12" ht="30">
      <c r="A5" s="8">
        <v>3</v>
      </c>
      <c r="B5" s="8" t="s">
        <v>171</v>
      </c>
      <c r="C5" s="9" t="s">
        <v>21</v>
      </c>
      <c r="D5" s="24">
        <v>45883</v>
      </c>
      <c r="E5" s="8" t="s">
        <v>172</v>
      </c>
      <c r="F5" s="16">
        <v>45874</v>
      </c>
      <c r="G5" s="16">
        <v>45875</v>
      </c>
      <c r="H5" s="16"/>
      <c r="I5" s="16"/>
      <c r="J5" s="16">
        <v>45884</v>
      </c>
      <c r="K5" s="16"/>
      <c r="L5" s="9"/>
    </row>
    <row r="6" spans="1:12" ht="30">
      <c r="A6" s="8">
        <v>4</v>
      </c>
      <c r="B6" s="8" t="s">
        <v>173</v>
      </c>
      <c r="C6" s="28" t="s">
        <v>170</v>
      </c>
      <c r="D6" s="24">
        <v>45883</v>
      </c>
      <c r="E6" s="8" t="s">
        <v>172</v>
      </c>
      <c r="F6" s="16">
        <v>45874</v>
      </c>
      <c r="G6" s="16">
        <v>45876</v>
      </c>
      <c r="H6" s="16">
        <v>45876</v>
      </c>
      <c r="I6" s="16"/>
      <c r="J6" s="16">
        <v>45884</v>
      </c>
      <c r="K6" s="16"/>
      <c r="L6" s="9"/>
    </row>
    <row r="7" spans="1:12" ht="30">
      <c r="A7" s="8">
        <v>5</v>
      </c>
      <c r="B7" s="8" t="s">
        <v>174</v>
      </c>
      <c r="C7" s="9" t="s">
        <v>89</v>
      </c>
      <c r="D7" s="24">
        <v>45883</v>
      </c>
      <c r="E7" s="8" t="s">
        <v>172</v>
      </c>
      <c r="F7" s="16">
        <v>45874</v>
      </c>
      <c r="G7" s="16">
        <v>45877</v>
      </c>
      <c r="H7" s="16">
        <v>45877</v>
      </c>
      <c r="I7" s="16">
        <v>45877</v>
      </c>
      <c r="J7" s="16">
        <v>45884</v>
      </c>
      <c r="K7" s="16"/>
      <c r="L7" s="9"/>
    </row>
    <row r="8" spans="1:12" ht="30">
      <c r="A8" s="8">
        <v>6</v>
      </c>
      <c r="B8" s="8" t="s">
        <v>175</v>
      </c>
      <c r="C8" s="9" t="s">
        <v>35</v>
      </c>
      <c r="D8" s="24">
        <v>45883</v>
      </c>
      <c r="E8" s="8" t="s">
        <v>172</v>
      </c>
      <c r="F8" s="16">
        <v>45874</v>
      </c>
      <c r="G8" s="16">
        <v>45877</v>
      </c>
      <c r="H8" s="16">
        <v>45877</v>
      </c>
      <c r="I8" s="16"/>
      <c r="J8" s="16">
        <v>45884</v>
      </c>
      <c r="K8" s="16"/>
      <c r="L8" s="8"/>
    </row>
    <row r="9" spans="1:12" ht="30">
      <c r="A9" s="8">
        <v>7</v>
      </c>
      <c r="B9" s="8" t="s">
        <v>176</v>
      </c>
      <c r="C9" s="9" t="s">
        <v>21</v>
      </c>
      <c r="D9" s="24">
        <v>45884</v>
      </c>
      <c r="E9" s="8" t="s">
        <v>172</v>
      </c>
      <c r="F9" s="16">
        <v>45876</v>
      </c>
      <c r="G9" s="16">
        <v>45877</v>
      </c>
      <c r="H9" s="16"/>
      <c r="I9" s="16"/>
      <c r="J9" s="16">
        <v>45887</v>
      </c>
      <c r="K9" s="16"/>
      <c r="L9" s="8"/>
    </row>
    <row r="10" spans="1:12" ht="30">
      <c r="A10" s="8">
        <v>8</v>
      </c>
      <c r="B10" s="8" t="s">
        <v>177</v>
      </c>
      <c r="C10" s="9" t="s">
        <v>170</v>
      </c>
      <c r="D10" s="24">
        <v>45884</v>
      </c>
      <c r="E10" s="8" t="s">
        <v>172</v>
      </c>
      <c r="F10" s="16">
        <v>45876</v>
      </c>
      <c r="G10" s="16">
        <v>45877</v>
      </c>
      <c r="H10" s="16">
        <v>45877</v>
      </c>
      <c r="I10" s="16"/>
      <c r="J10" s="16">
        <v>45887</v>
      </c>
      <c r="K10" s="16"/>
      <c r="L10" s="8"/>
    </row>
    <row r="11" spans="1:12" ht="30">
      <c r="A11" s="8">
        <v>9</v>
      </c>
      <c r="B11" s="8" t="s">
        <v>178</v>
      </c>
      <c r="C11" s="9" t="s">
        <v>35</v>
      </c>
      <c r="D11" s="24">
        <v>45884</v>
      </c>
      <c r="E11" s="8" t="s">
        <v>172</v>
      </c>
      <c r="F11" s="16">
        <v>45876</v>
      </c>
      <c r="G11" s="16">
        <v>45877</v>
      </c>
      <c r="H11" s="16">
        <v>45877</v>
      </c>
      <c r="I11" s="16"/>
      <c r="J11" s="16">
        <v>45887</v>
      </c>
      <c r="K11" s="16"/>
      <c r="L11" s="8"/>
    </row>
    <row r="12" spans="1:12" ht="30">
      <c r="A12" s="8">
        <v>10</v>
      </c>
      <c r="B12" s="8" t="s">
        <v>179</v>
      </c>
      <c r="C12" s="9" t="s">
        <v>15</v>
      </c>
      <c r="D12" s="24">
        <v>45884</v>
      </c>
      <c r="E12" s="8" t="s">
        <v>172</v>
      </c>
      <c r="F12" s="16">
        <v>45876</v>
      </c>
      <c r="G12" s="16">
        <v>45880</v>
      </c>
      <c r="H12" s="16">
        <v>45880</v>
      </c>
      <c r="I12" s="16"/>
      <c r="J12" s="16">
        <v>45887</v>
      </c>
      <c r="K12" s="16"/>
      <c r="L12" s="8"/>
    </row>
    <row r="13" spans="1:12" ht="30">
      <c r="A13" s="8">
        <v>11</v>
      </c>
      <c r="B13" s="8" t="s">
        <v>180</v>
      </c>
      <c r="C13" s="9" t="s">
        <v>21</v>
      </c>
      <c r="D13" s="24">
        <v>45909</v>
      </c>
      <c r="E13" s="8" t="s">
        <v>181</v>
      </c>
      <c r="F13" s="16">
        <v>45875</v>
      </c>
      <c r="G13" s="16">
        <v>45876</v>
      </c>
      <c r="H13" s="16"/>
      <c r="I13" s="16"/>
      <c r="J13" s="16">
        <v>44816</v>
      </c>
      <c r="K13" s="16"/>
      <c r="L13" s="8"/>
    </row>
    <row r="14" spans="1:12" ht="30">
      <c r="A14" s="8">
        <v>12</v>
      </c>
      <c r="B14" s="8" t="s">
        <v>182</v>
      </c>
      <c r="C14" s="9" t="s">
        <v>170</v>
      </c>
      <c r="D14" s="24">
        <v>45909</v>
      </c>
      <c r="E14" s="8" t="s">
        <v>181</v>
      </c>
      <c r="F14" s="16">
        <v>45875</v>
      </c>
      <c r="G14" s="16">
        <v>45876</v>
      </c>
      <c r="H14" s="16">
        <v>45876</v>
      </c>
      <c r="I14" s="16"/>
      <c r="J14" s="16">
        <v>44816</v>
      </c>
      <c r="K14" s="16"/>
      <c r="L14" s="8"/>
    </row>
    <row r="15" spans="1:12" ht="75">
      <c r="A15" s="8">
        <v>13</v>
      </c>
      <c r="B15" s="8" t="s">
        <v>183</v>
      </c>
      <c r="C15" s="9" t="s">
        <v>35</v>
      </c>
      <c r="D15" s="24">
        <v>45909</v>
      </c>
      <c r="E15" s="8" t="s">
        <v>181</v>
      </c>
      <c r="F15" s="16">
        <v>45875</v>
      </c>
      <c r="G15" s="16">
        <v>45877</v>
      </c>
      <c r="H15" s="16">
        <v>45877</v>
      </c>
      <c r="I15" s="16"/>
      <c r="J15" s="16" t="s">
        <v>200</v>
      </c>
      <c r="K15" s="16"/>
      <c r="L15" s="8" t="s">
        <v>208</v>
      </c>
    </row>
    <row r="16" spans="1:12">
      <c r="A16" s="8">
        <v>14</v>
      </c>
      <c r="B16" s="8" t="s">
        <v>184</v>
      </c>
      <c r="C16" s="9" t="s">
        <v>21</v>
      </c>
      <c r="D16" s="24">
        <v>45890</v>
      </c>
      <c r="E16" s="8" t="s">
        <v>185</v>
      </c>
      <c r="F16" s="16">
        <v>45880</v>
      </c>
      <c r="G16" s="16">
        <v>45881</v>
      </c>
      <c r="H16" s="16"/>
      <c r="I16" s="16"/>
      <c r="J16" s="16">
        <v>45896</v>
      </c>
      <c r="K16" s="16"/>
      <c r="L16" s="8"/>
    </row>
    <row r="17" spans="1:12" ht="30">
      <c r="A17" s="8">
        <v>15</v>
      </c>
      <c r="B17" s="8" t="s">
        <v>186</v>
      </c>
      <c r="C17" s="9" t="s">
        <v>15</v>
      </c>
      <c r="D17" s="24">
        <v>45883</v>
      </c>
      <c r="E17" s="8" t="s">
        <v>172</v>
      </c>
      <c r="F17" s="16">
        <v>45874</v>
      </c>
      <c r="G17" s="16">
        <v>45881</v>
      </c>
      <c r="H17" s="16"/>
      <c r="I17" s="16">
        <v>45881</v>
      </c>
      <c r="J17" s="16">
        <v>45884</v>
      </c>
      <c r="K17" s="16"/>
      <c r="L17" s="8"/>
    </row>
    <row r="18" spans="1:12" ht="30">
      <c r="A18" s="8">
        <v>16</v>
      </c>
      <c r="B18" s="8" t="s">
        <v>187</v>
      </c>
      <c r="C18" s="9" t="s">
        <v>45</v>
      </c>
      <c r="D18" s="24">
        <v>45883</v>
      </c>
      <c r="E18" s="8" t="s">
        <v>172</v>
      </c>
      <c r="F18" s="16">
        <v>45874</v>
      </c>
      <c r="G18" s="16">
        <v>45881</v>
      </c>
      <c r="H18" s="16">
        <v>45881</v>
      </c>
      <c r="I18" s="16"/>
      <c r="J18" s="16">
        <v>45884</v>
      </c>
      <c r="K18" s="16"/>
      <c r="L18" s="8"/>
    </row>
    <row r="19" spans="1:12" ht="30">
      <c r="A19" s="8">
        <v>17</v>
      </c>
      <c r="B19" s="8" t="s">
        <v>188</v>
      </c>
      <c r="C19" s="9" t="s">
        <v>45</v>
      </c>
      <c r="D19" s="24">
        <v>45884</v>
      </c>
      <c r="E19" s="8" t="s">
        <v>172</v>
      </c>
      <c r="F19" s="16">
        <v>45876</v>
      </c>
      <c r="G19" s="16">
        <v>45881</v>
      </c>
      <c r="H19" s="16">
        <v>45881</v>
      </c>
      <c r="I19" s="16"/>
      <c r="J19" s="16">
        <v>45887</v>
      </c>
      <c r="K19" s="16"/>
      <c r="L19" s="8"/>
    </row>
    <row r="20" spans="1:12" ht="30">
      <c r="A20" s="8">
        <v>18</v>
      </c>
      <c r="B20" s="8" t="s">
        <v>189</v>
      </c>
      <c r="C20" s="9" t="s">
        <v>83</v>
      </c>
      <c r="D20" s="24">
        <v>45909</v>
      </c>
      <c r="E20" s="8" t="s">
        <v>181</v>
      </c>
      <c r="F20" s="16">
        <v>45875</v>
      </c>
      <c r="G20" s="16">
        <v>45882</v>
      </c>
      <c r="H20" s="16">
        <v>45882</v>
      </c>
      <c r="I20" s="16"/>
      <c r="J20" s="16">
        <v>45912</v>
      </c>
      <c r="K20" s="16"/>
      <c r="L20" s="8"/>
    </row>
    <row r="21" spans="1:12" ht="30">
      <c r="A21" s="8">
        <v>19</v>
      </c>
      <c r="B21" s="8" t="s">
        <v>190</v>
      </c>
      <c r="C21" s="9" t="s">
        <v>170</v>
      </c>
      <c r="D21" s="24">
        <v>45890</v>
      </c>
      <c r="E21" s="8" t="s">
        <v>185</v>
      </c>
      <c r="F21" s="16">
        <v>45880</v>
      </c>
      <c r="G21" s="16">
        <v>45882</v>
      </c>
      <c r="H21" s="16">
        <v>45882</v>
      </c>
      <c r="I21" s="16"/>
      <c r="J21" s="16">
        <v>45896</v>
      </c>
      <c r="K21" s="16"/>
      <c r="L21" s="8"/>
    </row>
    <row r="22" spans="1:12" ht="60">
      <c r="A22" s="8">
        <v>20</v>
      </c>
      <c r="B22" s="8" t="s">
        <v>191</v>
      </c>
      <c r="C22" s="9" t="s">
        <v>79</v>
      </c>
      <c r="D22" s="24">
        <v>45890</v>
      </c>
      <c r="E22" s="8" t="s">
        <v>185</v>
      </c>
      <c r="F22" s="16">
        <v>45880</v>
      </c>
      <c r="G22" s="16">
        <v>45882</v>
      </c>
      <c r="H22" s="16"/>
      <c r="I22" s="16"/>
      <c r="J22" s="16" t="s">
        <v>200</v>
      </c>
      <c r="K22" s="16"/>
      <c r="L22" s="8" t="s">
        <v>198</v>
      </c>
    </row>
    <row r="23" spans="1:12">
      <c r="A23" s="8">
        <v>21</v>
      </c>
      <c r="B23" s="8" t="s">
        <v>192</v>
      </c>
      <c r="C23" s="9" t="s">
        <v>35</v>
      </c>
      <c r="D23" s="24">
        <v>45890</v>
      </c>
      <c r="E23" s="8" t="s">
        <v>185</v>
      </c>
      <c r="F23" s="16">
        <v>45880</v>
      </c>
      <c r="G23" s="16">
        <v>45884</v>
      </c>
      <c r="H23" s="16">
        <v>45884</v>
      </c>
      <c r="I23" s="16"/>
      <c r="J23" s="16">
        <v>45896</v>
      </c>
      <c r="K23" s="16"/>
      <c r="L23" s="8"/>
    </row>
    <row r="24" spans="1:12" ht="30">
      <c r="A24" s="8">
        <v>22</v>
      </c>
      <c r="B24" s="8" t="s">
        <v>193</v>
      </c>
      <c r="C24" s="9" t="s">
        <v>45</v>
      </c>
      <c r="D24" s="24">
        <v>45890</v>
      </c>
      <c r="E24" s="8" t="s">
        <v>185</v>
      </c>
      <c r="F24" s="16">
        <v>45880</v>
      </c>
      <c r="G24" s="16">
        <v>45887</v>
      </c>
      <c r="H24" s="16">
        <v>45887</v>
      </c>
      <c r="I24" s="16"/>
      <c r="J24" s="16">
        <v>45896</v>
      </c>
      <c r="K24" s="16"/>
      <c r="L24" s="8"/>
    </row>
    <row r="25" spans="1:12" ht="30">
      <c r="A25" s="8">
        <v>23</v>
      </c>
      <c r="B25" s="8" t="s">
        <v>194</v>
      </c>
      <c r="C25" s="9" t="s">
        <v>170</v>
      </c>
      <c r="D25" s="24">
        <v>45910</v>
      </c>
      <c r="E25" s="8" t="s">
        <v>195</v>
      </c>
      <c r="F25" s="16">
        <v>45887</v>
      </c>
      <c r="G25" s="16">
        <v>45888</v>
      </c>
      <c r="H25" s="16">
        <v>45888</v>
      </c>
      <c r="I25" s="16"/>
      <c r="J25" s="16" t="s">
        <v>200</v>
      </c>
      <c r="K25" s="16"/>
      <c r="L25" s="8" t="s">
        <v>233</v>
      </c>
    </row>
    <row r="26" spans="1:12" ht="60">
      <c r="A26" s="8">
        <v>24</v>
      </c>
      <c r="B26" s="8" t="s">
        <v>196</v>
      </c>
      <c r="C26" s="9" t="s">
        <v>79</v>
      </c>
      <c r="D26" s="24">
        <v>45910</v>
      </c>
      <c r="E26" s="8" t="s">
        <v>195</v>
      </c>
      <c r="F26" s="16">
        <v>45887</v>
      </c>
      <c r="G26" s="16">
        <v>45895</v>
      </c>
      <c r="H26" s="16">
        <v>45895</v>
      </c>
      <c r="I26" s="16"/>
      <c r="J26" s="16" t="s">
        <v>200</v>
      </c>
      <c r="K26" s="16"/>
      <c r="L26" s="8" t="s">
        <v>232</v>
      </c>
    </row>
    <row r="27" spans="1:12" ht="30">
      <c r="A27" s="8">
        <v>25</v>
      </c>
      <c r="B27" s="8" t="s">
        <v>197</v>
      </c>
      <c r="C27" s="9" t="s">
        <v>89</v>
      </c>
      <c r="D27" s="24">
        <v>45910</v>
      </c>
      <c r="E27" s="8" t="s">
        <v>195</v>
      </c>
      <c r="F27" s="16">
        <v>45887</v>
      </c>
      <c r="G27" s="16">
        <v>45895</v>
      </c>
      <c r="H27" s="16">
        <v>45895</v>
      </c>
      <c r="I27" s="16">
        <v>45895</v>
      </c>
      <c r="J27" s="16">
        <v>45912</v>
      </c>
      <c r="K27" s="16"/>
      <c r="L27" s="8"/>
    </row>
    <row r="28" spans="1:12" ht="30">
      <c r="A28" s="8">
        <v>26</v>
      </c>
      <c r="B28" s="8" t="s">
        <v>201</v>
      </c>
      <c r="C28" s="9" t="s">
        <v>35</v>
      </c>
      <c r="D28" s="24">
        <v>45910</v>
      </c>
      <c r="E28" s="8" t="s">
        <v>195</v>
      </c>
      <c r="F28" s="16">
        <v>45887</v>
      </c>
      <c r="G28" s="16">
        <v>45896</v>
      </c>
      <c r="H28" s="16">
        <v>45896</v>
      </c>
      <c r="I28" s="16"/>
      <c r="J28" s="16">
        <v>45912</v>
      </c>
      <c r="K28" s="16"/>
      <c r="L28" s="8"/>
    </row>
  </sheetData>
  <mergeCells count="6">
    <mergeCell ref="F1:K1"/>
    <mergeCell ref="A1:A2"/>
    <mergeCell ref="B1:B2"/>
    <mergeCell ref="C1:C2"/>
    <mergeCell ref="D1:D2"/>
    <mergeCell ref="E1:E2"/>
  </mergeCells>
  <phoneticPr fontId="2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5BB6-F65E-4F77-8142-FC22676F26D5}">
  <dimension ref="A1:L35"/>
  <sheetViews>
    <sheetView workbookViewId="0">
      <pane xSplit="3" ySplit="2" topLeftCell="F33" activePane="bottomRight" state="frozen"/>
      <selection pane="topRight"/>
      <selection pane="bottomLeft"/>
      <selection pane="bottomRight" activeCell="C13" sqref="C13"/>
    </sheetView>
  </sheetViews>
  <sheetFormatPr defaultColWidth="8.85546875" defaultRowHeight="15"/>
  <cols>
    <col min="1" max="1" width="8.85546875" style="1"/>
    <col min="2" max="2" width="21.42578125" style="1" customWidth="1"/>
    <col min="3" max="3" width="44.42578125" style="2" customWidth="1"/>
    <col min="4" max="4" width="20.71093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30">
      <c r="A3" s="8">
        <v>1</v>
      </c>
      <c r="B3" s="8" t="s">
        <v>202</v>
      </c>
      <c r="C3" s="9" t="s">
        <v>128</v>
      </c>
      <c r="D3" s="24">
        <v>45909</v>
      </c>
      <c r="E3" s="8" t="s">
        <v>181</v>
      </c>
      <c r="F3" s="16">
        <v>45875</v>
      </c>
      <c r="G3" s="30">
        <v>45902</v>
      </c>
      <c r="H3" s="30">
        <v>45902</v>
      </c>
      <c r="I3" s="16"/>
      <c r="J3" s="16">
        <v>45912</v>
      </c>
      <c r="L3" s="9"/>
    </row>
    <row r="4" spans="1:12" ht="30">
      <c r="A4" s="8">
        <v>2</v>
      </c>
      <c r="B4" s="8" t="s">
        <v>203</v>
      </c>
      <c r="C4" s="9" t="s">
        <v>170</v>
      </c>
      <c r="D4" s="24">
        <v>45912</v>
      </c>
      <c r="E4" s="8" t="s">
        <v>204</v>
      </c>
      <c r="F4" s="16">
        <v>45902</v>
      </c>
      <c r="G4" s="16">
        <v>45903</v>
      </c>
      <c r="H4" s="16">
        <v>45903</v>
      </c>
      <c r="I4" s="16"/>
      <c r="J4" s="36">
        <v>45915</v>
      </c>
      <c r="K4" s="32"/>
      <c r="L4" s="34"/>
    </row>
    <row r="5" spans="1:12">
      <c r="A5" s="8">
        <v>3</v>
      </c>
      <c r="B5" s="8" t="s">
        <v>205</v>
      </c>
      <c r="C5" s="9" t="s">
        <v>21</v>
      </c>
      <c r="D5" s="24">
        <v>45912</v>
      </c>
      <c r="E5" s="8" t="s">
        <v>204</v>
      </c>
      <c r="F5" s="16">
        <v>45902</v>
      </c>
      <c r="G5" s="16">
        <v>45903</v>
      </c>
      <c r="H5" s="16"/>
      <c r="I5" s="16"/>
      <c r="J5" s="36">
        <v>45915</v>
      </c>
      <c r="K5" s="16"/>
      <c r="L5" s="9"/>
    </row>
    <row r="6" spans="1:12">
      <c r="A6" s="8">
        <v>4</v>
      </c>
      <c r="B6" s="8" t="s">
        <v>206</v>
      </c>
      <c r="C6" s="9" t="s">
        <v>79</v>
      </c>
      <c r="D6" s="24">
        <v>45912</v>
      </c>
      <c r="E6" s="8" t="s">
        <v>204</v>
      </c>
      <c r="F6" s="16">
        <v>45902</v>
      </c>
      <c r="G6" s="16">
        <v>45904</v>
      </c>
      <c r="H6" s="16"/>
      <c r="I6" s="16"/>
      <c r="J6" s="36">
        <v>45915</v>
      </c>
      <c r="K6" s="16"/>
      <c r="L6" s="9"/>
    </row>
    <row r="7" spans="1:12" ht="75">
      <c r="A7" s="8">
        <v>5</v>
      </c>
      <c r="B7" s="8" t="s">
        <v>207</v>
      </c>
      <c r="C7" s="9" t="s">
        <v>83</v>
      </c>
      <c r="D7" s="24">
        <v>45912</v>
      </c>
      <c r="E7" s="8" t="s">
        <v>204</v>
      </c>
      <c r="F7" s="16">
        <v>45902</v>
      </c>
      <c r="G7" s="16">
        <v>45905</v>
      </c>
      <c r="H7" s="16">
        <v>45905</v>
      </c>
      <c r="I7" s="16">
        <v>45905</v>
      </c>
      <c r="J7" s="16" t="s">
        <v>200</v>
      </c>
      <c r="K7" s="16"/>
      <c r="L7" s="9" t="s">
        <v>234</v>
      </c>
    </row>
    <row r="8" spans="1:12" ht="30">
      <c r="A8" s="8">
        <v>6</v>
      </c>
      <c r="B8" s="8" t="s">
        <v>209</v>
      </c>
      <c r="C8" s="9" t="s">
        <v>21</v>
      </c>
      <c r="D8" s="24">
        <v>45910</v>
      </c>
      <c r="E8" s="8" t="s">
        <v>195</v>
      </c>
      <c r="F8" s="16">
        <v>45884</v>
      </c>
      <c r="G8" s="16">
        <v>45910</v>
      </c>
      <c r="H8" s="16"/>
      <c r="I8" s="16"/>
      <c r="J8" s="16">
        <v>45912</v>
      </c>
      <c r="K8" s="16"/>
      <c r="L8" s="8"/>
    </row>
    <row r="9" spans="1:12">
      <c r="A9" s="8">
        <v>7</v>
      </c>
      <c r="B9" s="8" t="s">
        <v>210</v>
      </c>
      <c r="C9" s="9" t="s">
        <v>35</v>
      </c>
      <c r="D9" s="24">
        <v>45912</v>
      </c>
      <c r="E9" s="8" t="s">
        <v>204</v>
      </c>
      <c r="F9" s="16">
        <v>45902</v>
      </c>
      <c r="G9" s="16">
        <v>45908</v>
      </c>
      <c r="H9" s="16">
        <v>45908</v>
      </c>
      <c r="I9" s="16"/>
      <c r="J9" s="36">
        <v>45915</v>
      </c>
      <c r="K9" s="16"/>
      <c r="L9" s="8"/>
    </row>
    <row r="10" spans="1:12">
      <c r="A10" s="8">
        <v>8</v>
      </c>
      <c r="B10" s="8" t="s">
        <v>211</v>
      </c>
      <c r="C10" s="9" t="s">
        <v>15</v>
      </c>
      <c r="D10" s="24">
        <v>45912</v>
      </c>
      <c r="E10" s="8" t="s">
        <v>204</v>
      </c>
      <c r="F10" s="16">
        <v>111645</v>
      </c>
      <c r="G10" s="16">
        <v>45909</v>
      </c>
      <c r="H10" s="16"/>
      <c r="I10" s="16">
        <v>45909</v>
      </c>
      <c r="J10" s="36">
        <v>45915</v>
      </c>
      <c r="K10" s="16"/>
      <c r="L10" s="8"/>
    </row>
    <row r="11" spans="1:12">
      <c r="A11" s="8">
        <v>9</v>
      </c>
      <c r="B11" s="8" t="s">
        <v>212</v>
      </c>
      <c r="C11" s="9" t="s">
        <v>15</v>
      </c>
      <c r="D11" s="24">
        <v>45913</v>
      </c>
      <c r="E11" s="8" t="s">
        <v>204</v>
      </c>
      <c r="F11" s="16">
        <v>111652</v>
      </c>
      <c r="G11" s="16">
        <v>45910</v>
      </c>
      <c r="H11" s="16"/>
      <c r="I11" s="16">
        <v>45910</v>
      </c>
      <c r="J11" s="16">
        <v>45915</v>
      </c>
      <c r="K11" s="16"/>
      <c r="L11" s="8"/>
    </row>
    <row r="12" spans="1:12" ht="45">
      <c r="A12" s="8">
        <v>10</v>
      </c>
      <c r="B12" s="8" t="s">
        <v>214</v>
      </c>
      <c r="C12" s="9" t="s">
        <v>35</v>
      </c>
      <c r="D12" s="24">
        <v>45925</v>
      </c>
      <c r="E12" s="8" t="s">
        <v>213</v>
      </c>
      <c r="F12" s="16">
        <v>45904</v>
      </c>
      <c r="G12" s="16">
        <v>45908</v>
      </c>
      <c r="H12" s="16">
        <v>45908</v>
      </c>
      <c r="I12" s="16"/>
      <c r="J12" s="16">
        <v>45931</v>
      </c>
      <c r="K12" s="16"/>
      <c r="L12" s="8"/>
    </row>
    <row r="13" spans="1:12" ht="75">
      <c r="A13" s="8">
        <v>11</v>
      </c>
      <c r="B13" s="8" t="s">
        <v>215</v>
      </c>
      <c r="C13" s="9" t="s">
        <v>35</v>
      </c>
      <c r="D13" s="24">
        <v>45926</v>
      </c>
      <c r="E13" s="8" t="s">
        <v>252</v>
      </c>
      <c r="F13" s="16">
        <v>45904</v>
      </c>
      <c r="G13" s="16">
        <v>45908</v>
      </c>
      <c r="H13" s="16">
        <v>45908</v>
      </c>
      <c r="I13" s="16"/>
      <c r="J13" s="16" t="s">
        <v>200</v>
      </c>
      <c r="K13" s="16"/>
      <c r="L13" s="9" t="s">
        <v>255</v>
      </c>
    </row>
    <row r="14" spans="1:12" ht="30">
      <c r="A14" s="8">
        <v>12</v>
      </c>
      <c r="B14" s="8" t="s">
        <v>216</v>
      </c>
      <c r="C14" s="9" t="s">
        <v>217</v>
      </c>
      <c r="D14" s="24" t="s">
        <v>218</v>
      </c>
      <c r="E14" s="8" t="s">
        <v>244</v>
      </c>
      <c r="F14" s="16">
        <v>45904</v>
      </c>
      <c r="G14" s="16">
        <v>45910</v>
      </c>
      <c r="H14" s="16">
        <v>45910</v>
      </c>
      <c r="I14" s="16">
        <v>45910</v>
      </c>
      <c r="J14" s="16">
        <v>45929</v>
      </c>
      <c r="K14" s="16"/>
      <c r="L14" s="8"/>
    </row>
    <row r="15" spans="1:12">
      <c r="A15" s="8">
        <v>13</v>
      </c>
      <c r="B15" s="8" t="s">
        <v>219</v>
      </c>
      <c r="C15" s="9" t="s">
        <v>79</v>
      </c>
      <c r="D15" s="24">
        <v>45932</v>
      </c>
      <c r="E15" s="8" t="s">
        <v>220</v>
      </c>
      <c r="F15" s="16">
        <v>45904</v>
      </c>
      <c r="G15" s="16">
        <v>45908</v>
      </c>
      <c r="H15" s="16"/>
      <c r="I15" s="16"/>
      <c r="J15" s="16" t="s">
        <v>200</v>
      </c>
      <c r="K15" s="16"/>
      <c r="L15" s="8" t="s">
        <v>253</v>
      </c>
    </row>
    <row r="16" spans="1:12">
      <c r="A16" s="8">
        <v>14</v>
      </c>
      <c r="B16" s="8" t="s">
        <v>221</v>
      </c>
      <c r="C16" s="9" t="s">
        <v>35</v>
      </c>
      <c r="D16" s="24">
        <v>45932</v>
      </c>
      <c r="E16" s="8" t="s">
        <v>220</v>
      </c>
      <c r="F16" s="16">
        <v>45904</v>
      </c>
      <c r="G16" s="16">
        <v>45908</v>
      </c>
      <c r="H16" s="16">
        <v>45908</v>
      </c>
      <c r="I16" s="16"/>
      <c r="J16" s="16">
        <v>45933</v>
      </c>
      <c r="K16" s="16"/>
      <c r="L16" s="8"/>
    </row>
    <row r="17" spans="1:12">
      <c r="A17" s="8">
        <v>15</v>
      </c>
      <c r="B17" s="8" t="s">
        <v>222</v>
      </c>
      <c r="C17" s="9" t="s">
        <v>21</v>
      </c>
      <c r="D17" s="24">
        <v>45932</v>
      </c>
      <c r="E17" s="8" t="s">
        <v>220</v>
      </c>
      <c r="F17" s="16">
        <v>45904</v>
      </c>
      <c r="G17" s="16">
        <v>45910</v>
      </c>
      <c r="H17" s="16"/>
      <c r="I17" s="16"/>
      <c r="J17" s="16" t="s">
        <v>200</v>
      </c>
      <c r="K17" s="16"/>
      <c r="L17" s="8" t="s">
        <v>253</v>
      </c>
    </row>
    <row r="18" spans="1:12" ht="30">
      <c r="A18" s="8">
        <v>16</v>
      </c>
      <c r="B18" s="8" t="s">
        <v>223</v>
      </c>
      <c r="C18" s="9" t="s">
        <v>170</v>
      </c>
      <c r="D18" s="24">
        <v>45932</v>
      </c>
      <c r="E18" s="8" t="s">
        <v>220</v>
      </c>
      <c r="F18" s="16">
        <v>45904</v>
      </c>
      <c r="G18" s="16">
        <v>45910</v>
      </c>
      <c r="H18" s="16"/>
      <c r="I18" s="16"/>
      <c r="J18" s="16" t="s">
        <v>200</v>
      </c>
      <c r="K18" s="16"/>
      <c r="L18" s="8" t="s">
        <v>253</v>
      </c>
    </row>
    <row r="19" spans="1:12" ht="30">
      <c r="A19" s="8">
        <v>17</v>
      </c>
      <c r="B19" s="8" t="s">
        <v>224</v>
      </c>
      <c r="C19" s="9" t="s">
        <v>21</v>
      </c>
      <c r="D19" s="24">
        <v>45913</v>
      </c>
      <c r="E19" s="8" t="s">
        <v>225</v>
      </c>
      <c r="F19" s="16">
        <v>45910</v>
      </c>
      <c r="G19" s="16">
        <v>45910</v>
      </c>
      <c r="H19" s="16"/>
      <c r="I19" s="16"/>
      <c r="J19" s="16">
        <v>45915</v>
      </c>
      <c r="K19" s="16"/>
      <c r="L19" s="8"/>
    </row>
    <row r="20" spans="1:12" ht="30">
      <c r="A20" s="8">
        <v>18</v>
      </c>
      <c r="B20" s="8" t="s">
        <v>226</v>
      </c>
      <c r="C20" s="9" t="s">
        <v>79</v>
      </c>
      <c r="D20" s="24">
        <v>45913</v>
      </c>
      <c r="E20" s="8" t="s">
        <v>227</v>
      </c>
      <c r="F20" s="16">
        <v>45909</v>
      </c>
      <c r="G20" s="16">
        <v>45911</v>
      </c>
      <c r="H20" s="16"/>
      <c r="I20" s="16"/>
      <c r="J20" s="16">
        <v>45916</v>
      </c>
      <c r="K20" s="16"/>
      <c r="L20" s="8"/>
    </row>
    <row r="21" spans="1:12" ht="30">
      <c r="A21" s="8">
        <v>19</v>
      </c>
      <c r="B21" s="8" t="s">
        <v>228</v>
      </c>
      <c r="C21" s="9" t="s">
        <v>170</v>
      </c>
      <c r="D21" s="24">
        <v>45913</v>
      </c>
      <c r="E21" s="8" t="s">
        <v>204</v>
      </c>
      <c r="F21" s="16">
        <v>45909</v>
      </c>
      <c r="G21" s="16">
        <v>45911</v>
      </c>
      <c r="H21" s="16"/>
      <c r="I21" s="16"/>
      <c r="J21" s="16">
        <v>45915</v>
      </c>
      <c r="K21" s="16"/>
      <c r="L21" s="8"/>
    </row>
    <row r="22" spans="1:12" ht="30">
      <c r="A22" s="8">
        <v>20</v>
      </c>
      <c r="B22" s="8" t="s">
        <v>229</v>
      </c>
      <c r="C22" s="9" t="s">
        <v>79</v>
      </c>
      <c r="D22" s="24" t="s">
        <v>218</v>
      </c>
      <c r="E22" s="8" t="s">
        <v>244</v>
      </c>
      <c r="F22" s="16">
        <v>45910</v>
      </c>
      <c r="G22" s="16">
        <v>45911</v>
      </c>
      <c r="H22" s="16"/>
      <c r="I22" s="16"/>
      <c r="J22" s="16">
        <v>45929</v>
      </c>
      <c r="K22" s="16"/>
      <c r="L22" s="8"/>
    </row>
    <row r="23" spans="1:12" ht="30">
      <c r="A23" s="8">
        <v>21</v>
      </c>
      <c r="B23" s="8" t="s">
        <v>230</v>
      </c>
      <c r="C23" s="9" t="s">
        <v>170</v>
      </c>
      <c r="D23" s="24">
        <v>45927</v>
      </c>
      <c r="E23" s="8" t="s">
        <v>231</v>
      </c>
      <c r="F23" s="16">
        <v>45910</v>
      </c>
      <c r="G23" s="16">
        <v>45911</v>
      </c>
      <c r="H23" s="16"/>
      <c r="I23" s="16"/>
      <c r="J23" s="16" t="s">
        <v>200</v>
      </c>
      <c r="K23" s="16"/>
      <c r="L23" s="8" t="s">
        <v>253</v>
      </c>
    </row>
    <row r="24" spans="1:12">
      <c r="A24" s="8">
        <v>22</v>
      </c>
      <c r="B24" s="8" t="s">
        <v>235</v>
      </c>
      <c r="C24" s="9" t="s">
        <v>35</v>
      </c>
      <c r="D24" s="24">
        <v>45913</v>
      </c>
      <c r="E24" s="8" t="s">
        <v>204</v>
      </c>
      <c r="F24" s="16">
        <v>45910</v>
      </c>
      <c r="G24" s="16">
        <v>45912</v>
      </c>
      <c r="H24" s="16">
        <v>45912</v>
      </c>
      <c r="I24" s="16"/>
      <c r="J24" s="16">
        <v>45915</v>
      </c>
      <c r="K24" s="16"/>
      <c r="L24" s="8"/>
    </row>
    <row r="25" spans="1:12" ht="30">
      <c r="A25" s="8">
        <v>23</v>
      </c>
      <c r="B25" s="8" t="s">
        <v>236</v>
      </c>
      <c r="C25" s="9" t="s">
        <v>237</v>
      </c>
      <c r="D25" s="24">
        <v>45913</v>
      </c>
      <c r="E25" s="8" t="s">
        <v>227</v>
      </c>
      <c r="F25" s="16">
        <v>45912</v>
      </c>
      <c r="G25" s="16"/>
      <c r="H25" s="16"/>
      <c r="I25" s="16"/>
      <c r="J25" s="16">
        <v>45916</v>
      </c>
      <c r="K25" s="16"/>
      <c r="L25" s="8"/>
    </row>
    <row r="26" spans="1:12" ht="30">
      <c r="A26" s="8">
        <v>24</v>
      </c>
      <c r="B26" s="8" t="s">
        <v>238</v>
      </c>
      <c r="C26" s="9" t="s">
        <v>237</v>
      </c>
      <c r="D26" s="24">
        <v>45913</v>
      </c>
      <c r="E26" s="8" t="s">
        <v>239</v>
      </c>
      <c r="F26" s="16">
        <v>45912</v>
      </c>
      <c r="G26" s="16"/>
      <c r="H26" s="16"/>
      <c r="I26" s="16"/>
      <c r="J26" s="16">
        <v>45916</v>
      </c>
      <c r="K26" s="16"/>
      <c r="L26" s="8"/>
    </row>
    <row r="27" spans="1:12" ht="45">
      <c r="A27" s="8">
        <v>25</v>
      </c>
      <c r="B27" s="8" t="s">
        <v>240</v>
      </c>
      <c r="C27" s="9" t="s">
        <v>150</v>
      </c>
      <c r="D27" s="24">
        <v>45925</v>
      </c>
      <c r="E27" s="8" t="s">
        <v>213</v>
      </c>
      <c r="F27" s="16">
        <v>45905</v>
      </c>
      <c r="G27" s="16">
        <v>45912</v>
      </c>
      <c r="H27" s="16"/>
      <c r="I27" s="16"/>
      <c r="J27" s="16">
        <v>45931</v>
      </c>
      <c r="K27" s="16"/>
      <c r="L27" s="8"/>
    </row>
    <row r="28" spans="1:12" ht="30">
      <c r="A28" s="8">
        <v>26</v>
      </c>
      <c r="B28" s="8" t="s">
        <v>241</v>
      </c>
      <c r="C28" s="9" t="s">
        <v>242</v>
      </c>
      <c r="D28" s="24" t="s">
        <v>218</v>
      </c>
      <c r="E28" s="8" t="s">
        <v>244</v>
      </c>
      <c r="F28" s="16">
        <v>45905</v>
      </c>
      <c r="G28" s="16">
        <v>45915</v>
      </c>
      <c r="H28" s="16">
        <v>45915</v>
      </c>
      <c r="I28" s="16">
        <v>45915</v>
      </c>
      <c r="J28" s="16">
        <v>45929</v>
      </c>
      <c r="K28" s="16"/>
      <c r="L28" s="8"/>
    </row>
    <row r="29" spans="1:12" ht="30">
      <c r="A29" s="8">
        <v>27</v>
      </c>
      <c r="B29" s="8" t="s">
        <v>243</v>
      </c>
      <c r="C29" s="9" t="s">
        <v>45</v>
      </c>
      <c r="D29" s="24" t="s">
        <v>218</v>
      </c>
      <c r="E29" s="8" t="s">
        <v>244</v>
      </c>
      <c r="F29" s="16">
        <v>45905</v>
      </c>
      <c r="G29" s="16">
        <v>45916</v>
      </c>
      <c r="H29" s="16">
        <v>45916</v>
      </c>
      <c r="I29" s="16"/>
      <c r="J29" s="16">
        <v>45929</v>
      </c>
      <c r="K29" s="16"/>
      <c r="L29" s="8"/>
    </row>
    <row r="30" spans="1:12" ht="30">
      <c r="A30" s="8">
        <v>28</v>
      </c>
      <c r="B30" s="8" t="s">
        <v>245</v>
      </c>
      <c r="C30" s="9" t="s">
        <v>246</v>
      </c>
      <c r="D30" s="24" t="s">
        <v>218</v>
      </c>
      <c r="E30" s="8" t="s">
        <v>244</v>
      </c>
      <c r="F30" s="16">
        <v>45905</v>
      </c>
      <c r="G30" s="16">
        <v>45919</v>
      </c>
      <c r="H30" s="16">
        <v>45918</v>
      </c>
      <c r="I30" s="16">
        <v>45918</v>
      </c>
      <c r="J30" s="16">
        <v>45929</v>
      </c>
      <c r="K30" s="16"/>
      <c r="L30" s="8"/>
    </row>
    <row r="31" spans="1:12" ht="30">
      <c r="A31" s="8">
        <v>29</v>
      </c>
      <c r="B31" s="8" t="s">
        <v>247</v>
      </c>
      <c r="C31" s="9" t="s">
        <v>237</v>
      </c>
      <c r="D31" s="24" t="s">
        <v>218</v>
      </c>
      <c r="E31" s="8" t="s">
        <v>244</v>
      </c>
      <c r="F31" s="16">
        <v>45912</v>
      </c>
      <c r="G31" s="16"/>
      <c r="H31" s="16"/>
      <c r="I31" s="16">
        <v>45918</v>
      </c>
      <c r="J31" s="16">
        <v>45929</v>
      </c>
      <c r="K31" s="16"/>
      <c r="L31" s="8"/>
    </row>
    <row r="32" spans="1:12" ht="45">
      <c r="A32" s="8">
        <v>30</v>
      </c>
      <c r="B32" s="8" t="s">
        <v>248</v>
      </c>
      <c r="C32" s="9" t="s">
        <v>170</v>
      </c>
      <c r="D32" s="24">
        <v>45925</v>
      </c>
      <c r="E32" s="8" t="s">
        <v>213</v>
      </c>
      <c r="F32" s="16">
        <v>45905</v>
      </c>
      <c r="G32" s="16">
        <v>45919</v>
      </c>
      <c r="H32" s="16">
        <v>45919</v>
      </c>
      <c r="I32" s="16"/>
      <c r="J32" s="16">
        <v>45931</v>
      </c>
      <c r="K32" s="16"/>
      <c r="L32" s="8"/>
    </row>
    <row r="33" spans="1:12" ht="30">
      <c r="A33" s="8">
        <v>31</v>
      </c>
      <c r="B33" s="8" t="s">
        <v>249</v>
      </c>
      <c r="C33" s="9" t="s">
        <v>170</v>
      </c>
      <c r="D33" s="24">
        <v>45926</v>
      </c>
      <c r="E33" s="8" t="s">
        <v>252</v>
      </c>
      <c r="F33" s="16">
        <v>45904</v>
      </c>
      <c r="G33" s="16">
        <v>45919</v>
      </c>
      <c r="H33" s="16">
        <v>45919</v>
      </c>
      <c r="I33" s="16"/>
      <c r="J33" s="16">
        <v>45931</v>
      </c>
      <c r="K33" s="16"/>
      <c r="L33" s="8"/>
    </row>
    <row r="34" spans="1:12" ht="30">
      <c r="A34" s="8">
        <v>32</v>
      </c>
      <c r="B34" s="8" t="s">
        <v>250</v>
      </c>
      <c r="C34" s="9" t="s">
        <v>237</v>
      </c>
      <c r="D34" s="24">
        <v>45926</v>
      </c>
      <c r="E34" s="8" t="s">
        <v>252</v>
      </c>
      <c r="F34" s="16">
        <v>45915</v>
      </c>
      <c r="G34" s="16">
        <v>45922</v>
      </c>
      <c r="H34" s="16">
        <v>45922</v>
      </c>
      <c r="I34" s="16"/>
      <c r="J34" s="16">
        <v>45931</v>
      </c>
      <c r="K34" s="16"/>
      <c r="L34" s="8"/>
    </row>
    <row r="35" spans="1:12" ht="30">
      <c r="A35" s="8">
        <v>33</v>
      </c>
      <c r="B35" s="8" t="s">
        <v>251</v>
      </c>
      <c r="C35" s="9" t="s">
        <v>237</v>
      </c>
      <c r="D35" s="24">
        <v>45927</v>
      </c>
      <c r="E35" s="8" t="s">
        <v>231</v>
      </c>
      <c r="F35" s="16">
        <v>45915</v>
      </c>
      <c r="G35" s="16">
        <v>45922</v>
      </c>
      <c r="H35" s="16">
        <v>45922</v>
      </c>
      <c r="I35" s="16"/>
      <c r="J35" s="16" t="s">
        <v>254</v>
      </c>
      <c r="K35" s="16"/>
      <c r="L35" s="8" t="s">
        <v>253</v>
      </c>
    </row>
  </sheetData>
  <mergeCells count="6">
    <mergeCell ref="F1:K1"/>
    <mergeCell ref="A1:A2"/>
    <mergeCell ref="B1:B2"/>
    <mergeCell ref="C1:C2"/>
    <mergeCell ref="D1:D2"/>
    <mergeCell ref="E1:E2"/>
  </mergeCells>
  <phoneticPr fontId="2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FC17-6C4E-49A0-A1D1-130AA4DBF934}">
  <dimension ref="A1:L4"/>
  <sheetViews>
    <sheetView workbookViewId="0">
      <pane xSplit="3" ySplit="2" topLeftCell="F3" activePane="bottomRight" state="frozen"/>
      <selection pane="topRight"/>
      <selection pane="bottomLeft"/>
      <selection pane="bottomRight" activeCell="C3" sqref="C3"/>
    </sheetView>
  </sheetViews>
  <sheetFormatPr defaultColWidth="8.85546875" defaultRowHeight="15"/>
  <cols>
    <col min="1" max="1" width="8.85546875" style="1"/>
    <col min="2" max="2" width="21.42578125" style="1" customWidth="1"/>
    <col min="3" max="3" width="44.42578125" style="2" customWidth="1"/>
    <col min="4" max="4" width="20.71093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c r="A3" s="8">
        <v>1</v>
      </c>
      <c r="B3" s="8" t="s">
        <v>256</v>
      </c>
      <c r="C3" s="9" t="s">
        <v>21</v>
      </c>
      <c r="D3" s="24">
        <v>45950</v>
      </c>
      <c r="E3" s="8" t="s">
        <v>257</v>
      </c>
      <c r="F3" s="16">
        <v>45944</v>
      </c>
      <c r="G3" s="30">
        <v>45945</v>
      </c>
      <c r="H3" s="30"/>
      <c r="I3" s="16"/>
      <c r="J3" s="16">
        <v>45952</v>
      </c>
      <c r="L3" s="9"/>
    </row>
    <row r="4" spans="1:12" ht="30">
      <c r="A4" s="8">
        <v>2</v>
      </c>
      <c r="B4" s="8" t="s">
        <v>258</v>
      </c>
      <c r="C4" s="9" t="s">
        <v>45</v>
      </c>
      <c r="D4" s="24">
        <v>45950</v>
      </c>
      <c r="E4" s="8" t="s">
        <v>257</v>
      </c>
      <c r="F4" s="16">
        <v>45944</v>
      </c>
      <c r="G4" s="16">
        <v>45947</v>
      </c>
      <c r="H4" s="16">
        <v>45947</v>
      </c>
      <c r="I4" s="16"/>
      <c r="J4" s="36">
        <v>45952</v>
      </c>
      <c r="K4" s="32"/>
      <c r="L4" s="34"/>
    </row>
  </sheetData>
  <mergeCells count="6">
    <mergeCell ref="F1:K1"/>
    <mergeCell ref="A1:A2"/>
    <mergeCell ref="B1:B2"/>
    <mergeCell ref="C1:C2"/>
    <mergeCell ref="D1:D2"/>
    <mergeCell ref="E1:E2"/>
  </mergeCells>
  <phoneticPr fontId="20"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811C-8124-4D4C-ABB4-EF53E56939B1}">
  <dimension ref="A1:L9"/>
  <sheetViews>
    <sheetView workbookViewId="0">
      <pane xSplit="3" ySplit="2" topLeftCell="D3" activePane="bottomRight" state="frozen"/>
      <selection pane="topRight"/>
      <selection pane="bottomLeft"/>
      <selection pane="bottomRight" activeCell="C16" sqref="C16"/>
    </sheetView>
  </sheetViews>
  <sheetFormatPr defaultColWidth="8.85546875" defaultRowHeight="15"/>
  <cols>
    <col min="1" max="1" width="8.85546875" style="1"/>
    <col min="2" max="2" width="21.42578125" style="1" customWidth="1"/>
    <col min="3" max="3" width="44.42578125" style="2" customWidth="1"/>
    <col min="4" max="4" width="20.7109375" style="1" customWidth="1"/>
    <col min="5" max="5" width="45.85546875" style="1" customWidth="1"/>
    <col min="6" max="6" width="13.5703125" style="6" customWidth="1"/>
    <col min="7" max="7" width="16.7109375" style="6" customWidth="1"/>
    <col min="8" max="8" width="12.28515625" style="6" customWidth="1"/>
    <col min="9" max="11" width="17" style="6" customWidth="1"/>
    <col min="12" max="12" width="20.85546875" style="1" customWidth="1"/>
    <col min="13" max="16384" width="8.85546875" style="7"/>
  </cols>
  <sheetData>
    <row r="1" spans="1:12" ht="45" customHeight="1">
      <c r="A1" s="40" t="s">
        <v>103</v>
      </c>
      <c r="B1" s="40" t="s">
        <v>0</v>
      </c>
      <c r="C1" s="40" t="s">
        <v>1</v>
      </c>
      <c r="D1" s="40" t="s">
        <v>2</v>
      </c>
      <c r="E1" s="40" t="s">
        <v>3</v>
      </c>
      <c r="F1" s="37" t="s">
        <v>7</v>
      </c>
      <c r="G1" s="38"/>
      <c r="H1" s="38"/>
      <c r="I1" s="38"/>
      <c r="J1" s="38"/>
      <c r="K1" s="39"/>
      <c r="L1" s="19"/>
    </row>
    <row r="2" spans="1:12" ht="45">
      <c r="A2" s="41"/>
      <c r="B2" s="41"/>
      <c r="C2" s="41"/>
      <c r="D2" s="41"/>
      <c r="E2" s="41"/>
      <c r="F2" s="22" t="s">
        <v>24</v>
      </c>
      <c r="G2" s="22" t="s">
        <v>25</v>
      </c>
      <c r="H2" s="22" t="s">
        <v>26</v>
      </c>
      <c r="I2" s="22" t="s">
        <v>27</v>
      </c>
      <c r="J2" s="22" t="s">
        <v>28</v>
      </c>
      <c r="K2" s="22" t="s">
        <v>62</v>
      </c>
      <c r="L2" s="21" t="s">
        <v>13</v>
      </c>
    </row>
    <row r="3" spans="1:12" ht="30">
      <c r="A3" s="8">
        <v>1</v>
      </c>
      <c r="B3" s="8" t="s">
        <v>260</v>
      </c>
      <c r="C3" s="9" t="s">
        <v>15</v>
      </c>
      <c r="D3" s="24">
        <v>45980</v>
      </c>
      <c r="E3" s="8" t="s">
        <v>259</v>
      </c>
      <c r="F3" s="16">
        <v>45967</v>
      </c>
      <c r="G3" s="30">
        <v>45971</v>
      </c>
      <c r="H3" s="30"/>
      <c r="I3" s="16">
        <v>45971</v>
      </c>
      <c r="J3" s="16"/>
      <c r="L3" s="9"/>
    </row>
    <row r="4" spans="1:12" ht="30">
      <c r="A4" s="8">
        <v>2</v>
      </c>
      <c r="B4" s="8" t="s">
        <v>261</v>
      </c>
      <c r="C4" s="9" t="s">
        <v>35</v>
      </c>
      <c r="D4" s="24">
        <v>45980</v>
      </c>
      <c r="E4" s="8" t="s">
        <v>259</v>
      </c>
      <c r="F4" s="16">
        <v>45967</v>
      </c>
      <c r="G4" s="16">
        <v>45972</v>
      </c>
      <c r="H4" s="16">
        <v>45972</v>
      </c>
      <c r="I4" s="16">
        <v>45972</v>
      </c>
      <c r="J4" s="36"/>
      <c r="K4" s="32"/>
      <c r="L4" s="34"/>
    </row>
    <row r="5" spans="1:12" ht="30">
      <c r="A5" s="8">
        <v>3</v>
      </c>
      <c r="B5" s="8" t="s">
        <v>262</v>
      </c>
      <c r="C5" s="9" t="s">
        <v>45</v>
      </c>
      <c r="D5" s="24">
        <v>45980</v>
      </c>
      <c r="E5" s="8" t="s">
        <v>259</v>
      </c>
      <c r="F5" s="16">
        <v>45967</v>
      </c>
      <c r="G5" s="16">
        <v>45972</v>
      </c>
      <c r="H5" s="16">
        <v>45972</v>
      </c>
      <c r="I5" s="16"/>
      <c r="J5" s="16"/>
      <c r="K5" s="16"/>
      <c r="L5" s="8"/>
    </row>
    <row r="6" spans="1:12" ht="30">
      <c r="A6" s="8">
        <v>4</v>
      </c>
      <c r="B6" s="8" t="s">
        <v>263</v>
      </c>
      <c r="C6" s="9" t="s">
        <v>264</v>
      </c>
      <c r="D6" s="24">
        <v>45980</v>
      </c>
      <c r="E6" s="8" t="s">
        <v>259</v>
      </c>
      <c r="F6" s="16">
        <v>45967</v>
      </c>
      <c r="G6" s="16">
        <v>45974</v>
      </c>
      <c r="H6" s="16">
        <v>45974</v>
      </c>
      <c r="I6" s="16"/>
      <c r="J6" s="16"/>
      <c r="K6" s="16"/>
      <c r="L6" s="8"/>
    </row>
    <row r="7" spans="1:12">
      <c r="A7" s="8">
        <v>5</v>
      </c>
      <c r="B7" s="8" t="s">
        <v>265</v>
      </c>
      <c r="C7" s="9" t="s">
        <v>35</v>
      </c>
      <c r="D7" s="24">
        <v>45992</v>
      </c>
      <c r="E7" s="8" t="s">
        <v>204</v>
      </c>
      <c r="F7" s="16">
        <v>45975</v>
      </c>
      <c r="G7" s="16">
        <v>45980</v>
      </c>
      <c r="H7" s="16">
        <v>45980</v>
      </c>
      <c r="I7" s="16"/>
      <c r="J7" s="16"/>
      <c r="K7" s="16"/>
      <c r="L7" s="8"/>
    </row>
    <row r="8" spans="1:12">
      <c r="A8" s="8">
        <v>6</v>
      </c>
      <c r="B8" s="8" t="s">
        <v>266</v>
      </c>
      <c r="C8" s="9" t="s">
        <v>15</v>
      </c>
      <c r="D8" s="24">
        <v>45992</v>
      </c>
      <c r="E8" s="8" t="s">
        <v>204</v>
      </c>
      <c r="F8" s="16">
        <v>45975</v>
      </c>
      <c r="G8" s="16">
        <v>45982</v>
      </c>
      <c r="H8" s="16"/>
      <c r="I8" s="16">
        <v>45982</v>
      </c>
      <c r="J8" s="16"/>
      <c r="K8" s="16"/>
      <c r="L8" s="8"/>
    </row>
    <row r="9" spans="1:12" ht="30">
      <c r="A9" s="8">
        <v>7</v>
      </c>
      <c r="B9" s="8" t="s">
        <v>267</v>
      </c>
      <c r="C9" s="9" t="s">
        <v>45</v>
      </c>
      <c r="D9" s="24">
        <v>45992</v>
      </c>
      <c r="E9" s="8" t="s">
        <v>204</v>
      </c>
      <c r="F9" s="16">
        <v>45975</v>
      </c>
      <c r="G9" s="16">
        <v>45987</v>
      </c>
      <c r="H9" s="16">
        <v>45987</v>
      </c>
      <c r="I9" s="16"/>
      <c r="J9" s="16"/>
      <c r="K9" s="16"/>
      <c r="L9" s="8"/>
    </row>
  </sheetData>
  <mergeCells count="6">
    <mergeCell ref="F1:K1"/>
    <mergeCell ref="A1:A2"/>
    <mergeCell ref="B1:B2"/>
    <mergeCell ref="C1:C2"/>
    <mergeCell ref="D1:D2"/>
    <mergeCell ref="E1:E2"/>
  </mergeCells>
  <phoneticPr fontId="20"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5E2C-74E8-4272-879A-9A6B00C118DD}">
  <dimension ref="A1:J4"/>
  <sheetViews>
    <sheetView workbookViewId="0">
      <pane xSplit="3" ySplit="2" topLeftCell="D3" activePane="bottomRight" state="frozen"/>
      <selection pane="topRight"/>
      <selection pane="bottomLeft"/>
      <selection pane="bottomRight" activeCell="E23" sqref="E23"/>
    </sheetView>
  </sheetViews>
  <sheetFormatPr defaultColWidth="8.85546875" defaultRowHeight="15"/>
  <cols>
    <col min="1" max="1" width="8.85546875" style="1"/>
    <col min="2" max="2" width="21.42578125" style="1" customWidth="1"/>
    <col min="3" max="3" width="44.42578125" style="2" customWidth="1"/>
    <col min="4" max="4" width="20.7109375" style="1" customWidth="1"/>
    <col min="5" max="5" width="45.85546875" style="1" customWidth="1"/>
    <col min="6" max="6" width="13.5703125" style="6" customWidth="1"/>
    <col min="7" max="7" width="16.7109375" style="6" customWidth="1"/>
    <col min="8" max="8" width="12.28515625" style="6" customWidth="1"/>
    <col min="9" max="10" width="17" style="6" customWidth="1"/>
    <col min="11" max="16384" width="8.85546875" style="7"/>
  </cols>
  <sheetData>
    <row r="1" spans="1:10" ht="45" customHeight="1">
      <c r="A1" s="40" t="s">
        <v>103</v>
      </c>
      <c r="B1" s="40" t="s">
        <v>0</v>
      </c>
      <c r="C1" s="40" t="s">
        <v>1</v>
      </c>
      <c r="D1" s="40" t="s">
        <v>2</v>
      </c>
      <c r="E1" s="40" t="s">
        <v>3</v>
      </c>
      <c r="F1" s="61" t="s">
        <v>7</v>
      </c>
      <c r="G1" s="61"/>
      <c r="H1" s="61"/>
      <c r="I1" s="61"/>
      <c r="J1" s="61"/>
    </row>
    <row r="2" spans="1:10" ht="45">
      <c r="A2" s="41"/>
      <c r="B2" s="41"/>
      <c r="C2" s="41"/>
      <c r="D2" s="41"/>
      <c r="E2" s="41"/>
      <c r="F2" s="22" t="s">
        <v>24</v>
      </c>
      <c r="G2" s="22" t="s">
        <v>25</v>
      </c>
      <c r="H2" s="22" t="s">
        <v>26</v>
      </c>
      <c r="I2" s="22" t="s">
        <v>27</v>
      </c>
      <c r="J2" s="22" t="s">
        <v>28</v>
      </c>
    </row>
    <row r="3" spans="1:10">
      <c r="A3" s="8">
        <v>1</v>
      </c>
      <c r="B3" s="8" t="s">
        <v>268</v>
      </c>
      <c r="C3" s="9" t="s">
        <v>21</v>
      </c>
      <c r="D3" s="24">
        <v>45995</v>
      </c>
      <c r="E3" s="8" t="s">
        <v>269</v>
      </c>
      <c r="F3" s="16">
        <v>45990</v>
      </c>
      <c r="G3" s="30">
        <v>45993</v>
      </c>
      <c r="H3" s="30"/>
      <c r="I3" s="16"/>
      <c r="J3" s="16"/>
    </row>
    <row r="4" spans="1:10" ht="30">
      <c r="A4" s="8">
        <v>2</v>
      </c>
      <c r="B4" s="8" t="s">
        <v>270</v>
      </c>
      <c r="C4" s="9" t="s">
        <v>89</v>
      </c>
      <c r="D4" s="24">
        <v>45995</v>
      </c>
      <c r="E4" s="8" t="s">
        <v>269</v>
      </c>
      <c r="F4" s="16">
        <v>45990</v>
      </c>
      <c r="G4" s="16">
        <v>45994</v>
      </c>
      <c r="H4" s="16">
        <v>45994</v>
      </c>
      <c r="I4" s="16">
        <v>45994</v>
      </c>
      <c r="J4" s="36"/>
    </row>
  </sheetData>
  <mergeCells count="6">
    <mergeCell ref="F1:J1"/>
    <mergeCell ref="A1:A2"/>
    <mergeCell ref="B1:B2"/>
    <mergeCell ref="C1:C2"/>
    <mergeCell ref="D1:D2"/>
    <mergeCell ref="E1:E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JAN</vt:lpstr>
      <vt:lpstr>FEB</vt:lpstr>
      <vt:lpstr>MAR</vt:lpstr>
      <vt:lpstr>APR</vt:lpstr>
      <vt:lpstr>MAY</vt:lpstr>
      <vt:lpstr>JUN</vt:lpstr>
      <vt:lpstr>JUL</vt:lpstr>
      <vt:lpstr>AUG</vt:lpstr>
      <vt:lpstr>SEPT</vt:lpstr>
      <vt:lpstr>OCT</vt:lpstr>
      <vt:lpstr>NOV</vt:lpstr>
      <vt:lpstr>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 Charo Lacre</dc:creator>
  <cp:lastModifiedBy>Ajean Torralba</cp:lastModifiedBy>
  <cp:lastPrinted>2025-09-22T02:12:44Z</cp:lastPrinted>
  <dcterms:created xsi:type="dcterms:W3CDTF">2025-02-24T06:35:00Z</dcterms:created>
  <dcterms:modified xsi:type="dcterms:W3CDTF">2026-02-26T03:32:38Z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D4A3D893A2054B0789E8A67C61B1815B_12</vt:lpwstr>
  </property>
  <property fmtid="{D5CDD505-2E9C-101B-9397-08002B2CF9AE}" pid="3" name="KSOProductBuildVer">
    <vt:lpwstr>1033-12.2.0.20326</vt:lpwstr>
  </property>
</Properties>
</file>