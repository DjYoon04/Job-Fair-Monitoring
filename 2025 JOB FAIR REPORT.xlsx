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DMW OFFICE RELATED-Ajean\1. CORE FUNCTIONS\4. MONITORING SUPERVISION OF JOB FAIR ACTIVITIES\2025\JOB FAIR REPORT\"/>
    </mc:Choice>
  </mc:AlternateContent>
  <xr:revisionPtr revIDLastSave="0" documentId="13_ncr:1_{607E9AA8-0960-4BAF-B948-62D5A0B53B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24" r:id="rId1"/>
    <sheet name="JAN" sheetId="18" r:id="rId2"/>
    <sheet name="FEB" sheetId="16" r:id="rId3"/>
    <sheet name="MAR" sheetId="7" r:id="rId4"/>
    <sheet name="APR" sheetId="11" r:id="rId5"/>
    <sheet name="MAY" sheetId="12" r:id="rId6"/>
    <sheet name="JUNE" sheetId="13" r:id="rId7"/>
    <sheet name="JULY" sheetId="14" r:id="rId8"/>
    <sheet name="AUG" sheetId="19" r:id="rId9"/>
    <sheet name="SEP" sheetId="20" r:id="rId10"/>
    <sheet name="OCT" sheetId="21" r:id="rId11"/>
    <sheet name="NOV" sheetId="22" r:id="rId12"/>
    <sheet name="DEC" sheetId="23" r:id="rId13"/>
  </sheets>
  <definedNames>
    <definedName name="_xlnm.Print_Area" localSheetId="4">APR!$A$1:$K$31</definedName>
    <definedName name="_xlnm.Print_Area" localSheetId="8">AUG!$A$2:$K$42</definedName>
    <definedName name="_xlnm.Print_Area" localSheetId="12">DEC!$A$3:$K$29</definedName>
    <definedName name="_xlnm.Print_Area" localSheetId="2">FEB!$A$1:$K$26</definedName>
    <definedName name="_xlnm.Print_Area" localSheetId="1">JAN!$A$1:$K$25</definedName>
    <definedName name="_xlnm.Print_Area" localSheetId="7">JULY!$A$1:$K$35</definedName>
    <definedName name="_xlnm.Print_Area" localSheetId="6">JUNE!$A$1:$K$56</definedName>
    <definedName name="_xlnm.Print_Area" localSheetId="3">MAR!$A$1:$K$27</definedName>
    <definedName name="_xlnm.Print_Area" localSheetId="5">MAY!$A$1:$K$46</definedName>
    <definedName name="_xlnm.Print_Area" localSheetId="11">NOV!$A$3:$K$27</definedName>
    <definedName name="_xlnm.Print_Area" localSheetId="10">OCT!$A$3:$K$27</definedName>
    <definedName name="_xlnm.Print_Area" localSheetId="9">SEP!$A$3:$K$65</definedName>
    <definedName name="_xlnm.Print_Area" localSheetId="0">SUMMARY!$A$3:$G$42</definedName>
    <definedName name="_xlnm.Print_Titles" localSheetId="8">AUG!$13:$14</definedName>
    <definedName name="_xlnm.Print_Titles" localSheetId="12">DEC!$13:$14</definedName>
    <definedName name="_xlnm.Print_Titles" localSheetId="7">JULY!$13:$14</definedName>
    <definedName name="_xlnm.Print_Titles" localSheetId="6">JUNE!$13:$14</definedName>
    <definedName name="_xlnm.Print_Titles" localSheetId="5">MAY!$13:$14</definedName>
    <definedName name="_xlnm.Print_Titles" localSheetId="11">NOV!$13:$14</definedName>
    <definedName name="_xlnm.Print_Titles" localSheetId="10">OCT!$13:$14</definedName>
    <definedName name="_xlnm.Print_Titles" localSheetId="9">SEP!$13:$14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24" l="1"/>
  <c r="D23" i="24"/>
  <c r="E23" i="24"/>
  <c r="F23" i="24"/>
  <c r="G23" i="24"/>
  <c r="C22" i="24"/>
  <c r="D22" i="24"/>
  <c r="E22" i="24"/>
  <c r="F22" i="24"/>
  <c r="G22" i="24"/>
  <c r="C15" i="24"/>
  <c r="D15" i="24"/>
  <c r="E15" i="24"/>
  <c r="F15" i="24"/>
  <c r="G15" i="24"/>
  <c r="B23" i="24"/>
  <c r="B22" i="24"/>
  <c r="C10" i="24"/>
  <c r="D10" i="24"/>
  <c r="G21" i="24"/>
  <c r="B21" i="24"/>
  <c r="G20" i="24"/>
  <c r="F20" i="24"/>
  <c r="D20" i="24"/>
  <c r="C20" i="24"/>
  <c r="B20" i="24"/>
  <c r="G19" i="24"/>
  <c r="F19" i="24"/>
  <c r="D19" i="24"/>
  <c r="C19" i="24"/>
  <c r="B19" i="24"/>
  <c r="G18" i="24"/>
  <c r="F18" i="24"/>
  <c r="D18" i="24"/>
  <c r="C18" i="24"/>
  <c r="E18" i="24" s="1"/>
  <c r="B18" i="24"/>
  <c r="G17" i="24"/>
  <c r="F17" i="24"/>
  <c r="D17" i="24"/>
  <c r="C17" i="24"/>
  <c r="B17" i="24"/>
  <c r="G16" i="24"/>
  <c r="F16" i="24"/>
  <c r="D16" i="24"/>
  <c r="C16" i="24"/>
  <c r="B16" i="24"/>
  <c r="G14" i="24"/>
  <c r="F14" i="24"/>
  <c r="D14" i="24"/>
  <c r="C14" i="24"/>
  <c r="B14" i="24"/>
  <c r="G13" i="24"/>
  <c r="F13" i="24"/>
  <c r="D13" i="24"/>
  <c r="C13" i="24"/>
  <c r="E13" i="24" s="1"/>
  <c r="B13" i="24"/>
  <c r="G12" i="24"/>
  <c r="F12" i="24"/>
  <c r="D12" i="24"/>
  <c r="C12" i="24"/>
  <c r="B12" i="24"/>
  <c r="G11" i="24"/>
  <c r="F11" i="24"/>
  <c r="D11" i="24"/>
  <c r="C11" i="24"/>
  <c r="B11" i="24"/>
  <c r="G10" i="24"/>
  <c r="F10" i="24"/>
  <c r="B10" i="24"/>
  <c r="G9" i="24"/>
  <c r="F9" i="24"/>
  <c r="D9" i="24"/>
  <c r="C9" i="24"/>
  <c r="B9" i="24"/>
  <c r="G21" i="23"/>
  <c r="G22" i="23" s="1"/>
  <c r="D21" i="24" s="1"/>
  <c r="I21" i="23"/>
  <c r="I22" i="23" s="1"/>
  <c r="F21" i="24" s="1"/>
  <c r="J21" i="23"/>
  <c r="J22" i="23" s="1"/>
  <c r="F21" i="23"/>
  <c r="F22" i="23" s="1"/>
  <c r="C21" i="24" s="1"/>
  <c r="E22" i="23"/>
  <c r="E21" i="23"/>
  <c r="K20" i="23"/>
  <c r="K21" i="23" s="1"/>
  <c r="K22" i="23" s="1"/>
  <c r="H20" i="23"/>
  <c r="K19" i="23"/>
  <c r="H19" i="23"/>
  <c r="J18" i="23"/>
  <c r="I18" i="23"/>
  <c r="G18" i="23"/>
  <c r="F18" i="23"/>
  <c r="E18" i="23"/>
  <c r="K17" i="23"/>
  <c r="H17" i="23"/>
  <c r="K16" i="23"/>
  <c r="H16" i="23"/>
  <c r="K15" i="23"/>
  <c r="H15" i="23"/>
  <c r="H16" i="22"/>
  <c r="I20" i="22"/>
  <c r="J20" i="22"/>
  <c r="K20" i="22"/>
  <c r="E20" i="22"/>
  <c r="K16" i="22"/>
  <c r="K17" i="22"/>
  <c r="K18" i="22"/>
  <c r="F20" i="21"/>
  <c r="G20" i="21"/>
  <c r="H20" i="21"/>
  <c r="I20" i="21"/>
  <c r="J20" i="21"/>
  <c r="K20" i="21"/>
  <c r="E20" i="21"/>
  <c r="J19" i="22"/>
  <c r="I19" i="22"/>
  <c r="G19" i="22"/>
  <c r="G20" i="22" s="1"/>
  <c r="F19" i="22"/>
  <c r="F20" i="22" s="1"/>
  <c r="E19" i="22"/>
  <c r="H18" i="22"/>
  <c r="H17" i="22"/>
  <c r="K15" i="22"/>
  <c r="H15" i="22"/>
  <c r="J19" i="21"/>
  <c r="I19" i="21"/>
  <c r="G19" i="21"/>
  <c r="F19" i="21"/>
  <c r="E19" i="21"/>
  <c r="K18" i="21"/>
  <c r="H18" i="21"/>
  <c r="K17" i="21"/>
  <c r="H17" i="21"/>
  <c r="J16" i="21"/>
  <c r="I16" i="21"/>
  <c r="E16" i="21"/>
  <c r="G16" i="21"/>
  <c r="K15" i="21"/>
  <c r="K16" i="21" s="1"/>
  <c r="H15" i="21"/>
  <c r="H16" i="21" s="1"/>
  <c r="E58" i="20"/>
  <c r="G58" i="20"/>
  <c r="H58" i="20"/>
  <c r="I58" i="20"/>
  <c r="J58" i="20"/>
  <c r="K58" i="20"/>
  <c r="F58" i="20"/>
  <c r="K52" i="20"/>
  <c r="K53" i="20"/>
  <c r="K54" i="20"/>
  <c r="K55" i="20"/>
  <c r="K56" i="20"/>
  <c r="H53" i="20"/>
  <c r="H54" i="20"/>
  <c r="H55" i="20"/>
  <c r="H56" i="20"/>
  <c r="G50" i="20"/>
  <c r="I50" i="20"/>
  <c r="J50" i="20"/>
  <c r="F50" i="20"/>
  <c r="E50" i="20"/>
  <c r="J57" i="20"/>
  <c r="I57" i="20"/>
  <c r="G57" i="20"/>
  <c r="F57" i="20"/>
  <c r="E57" i="20"/>
  <c r="H52" i="20"/>
  <c r="K51" i="20"/>
  <c r="H51" i="20"/>
  <c r="K49" i="20"/>
  <c r="K50" i="20" s="1"/>
  <c r="H49" i="20"/>
  <c r="H50" i="20" s="1"/>
  <c r="J48" i="20"/>
  <c r="I48" i="20"/>
  <c r="F48" i="20"/>
  <c r="E48" i="20"/>
  <c r="K47" i="20"/>
  <c r="H47" i="20"/>
  <c r="K46" i="20"/>
  <c r="G48" i="20"/>
  <c r="H46" i="20"/>
  <c r="G42" i="20"/>
  <c r="G45" i="20" s="1"/>
  <c r="F42" i="20"/>
  <c r="J45" i="20"/>
  <c r="I45" i="20"/>
  <c r="E45" i="20"/>
  <c r="K44" i="20"/>
  <c r="H44" i="20"/>
  <c r="K43" i="20"/>
  <c r="H43" i="20"/>
  <c r="K42" i="20"/>
  <c r="F35" i="20"/>
  <c r="H35" i="20" s="1"/>
  <c r="G33" i="20"/>
  <c r="G36" i="20" s="1"/>
  <c r="F33" i="20"/>
  <c r="G41" i="20"/>
  <c r="I41" i="20"/>
  <c r="J41" i="20"/>
  <c r="F41" i="20"/>
  <c r="G38" i="20"/>
  <c r="I38" i="20"/>
  <c r="J38" i="20"/>
  <c r="F38" i="20"/>
  <c r="I36" i="20"/>
  <c r="J36" i="20"/>
  <c r="E38" i="20"/>
  <c r="K37" i="20"/>
  <c r="K38" i="20" s="1"/>
  <c r="H37" i="20"/>
  <c r="H38" i="20" s="1"/>
  <c r="E36" i="20"/>
  <c r="K35" i="20"/>
  <c r="K34" i="20"/>
  <c r="H34" i="20"/>
  <c r="K33" i="20"/>
  <c r="J32" i="20"/>
  <c r="I32" i="20"/>
  <c r="G32" i="20"/>
  <c r="F32" i="20"/>
  <c r="E32" i="20"/>
  <c r="K31" i="20"/>
  <c r="K32" i="20" s="1"/>
  <c r="H31" i="20"/>
  <c r="H32" i="20" s="1"/>
  <c r="G24" i="20"/>
  <c r="I24" i="20"/>
  <c r="J24" i="20"/>
  <c r="F24" i="20"/>
  <c r="I19" i="20"/>
  <c r="J19" i="20"/>
  <c r="G18" i="20"/>
  <c r="G19" i="20" s="1"/>
  <c r="F18" i="20"/>
  <c r="F19" i="20" s="1"/>
  <c r="H16" i="20"/>
  <c r="H17" i="20"/>
  <c r="K16" i="20"/>
  <c r="K17" i="20"/>
  <c r="K18" i="20"/>
  <c r="E41" i="20"/>
  <c r="K40" i="20"/>
  <c r="H40" i="20"/>
  <c r="K39" i="20"/>
  <c r="H39" i="20"/>
  <c r="J30" i="20"/>
  <c r="I30" i="20"/>
  <c r="G30" i="20"/>
  <c r="F30" i="20"/>
  <c r="E30" i="20"/>
  <c r="K29" i="20"/>
  <c r="H29" i="20"/>
  <c r="K28" i="20"/>
  <c r="H28" i="20"/>
  <c r="K27" i="20"/>
  <c r="H27" i="20"/>
  <c r="K26" i="20"/>
  <c r="H26" i="20"/>
  <c r="K25" i="20"/>
  <c r="H25" i="20"/>
  <c r="E24" i="20"/>
  <c r="K23" i="20"/>
  <c r="H23" i="20"/>
  <c r="K22" i="20"/>
  <c r="H22" i="20"/>
  <c r="K21" i="20"/>
  <c r="H21" i="20"/>
  <c r="K20" i="20"/>
  <c r="H20" i="20"/>
  <c r="E19" i="20"/>
  <c r="K15" i="20"/>
  <c r="H15" i="20"/>
  <c r="K25" i="19"/>
  <c r="K26" i="19"/>
  <c r="K27" i="19"/>
  <c r="K28" i="19"/>
  <c r="G29" i="19"/>
  <c r="H29" i="19"/>
  <c r="I29" i="19"/>
  <c r="J29" i="19"/>
  <c r="H27" i="19"/>
  <c r="H26" i="19"/>
  <c r="H25" i="19"/>
  <c r="G23" i="19"/>
  <c r="H23" i="19"/>
  <c r="I23" i="19"/>
  <c r="J23" i="19"/>
  <c r="K23" i="19"/>
  <c r="K18" i="19"/>
  <c r="K19" i="19"/>
  <c r="K20" i="19"/>
  <c r="K21" i="19"/>
  <c r="K22" i="19"/>
  <c r="H18" i="19"/>
  <c r="H19" i="19"/>
  <c r="H20" i="19"/>
  <c r="H21" i="19"/>
  <c r="J34" i="19"/>
  <c r="I34" i="19"/>
  <c r="G34" i="19"/>
  <c r="F34" i="19"/>
  <c r="E34" i="19"/>
  <c r="K33" i="19"/>
  <c r="H33" i="19"/>
  <c r="K32" i="19"/>
  <c r="H32" i="19"/>
  <c r="K31" i="19"/>
  <c r="H31" i="19"/>
  <c r="K30" i="19"/>
  <c r="H30" i="19"/>
  <c r="F29" i="19"/>
  <c r="E29" i="19"/>
  <c r="H28" i="19"/>
  <c r="K24" i="19"/>
  <c r="H24" i="19"/>
  <c r="F23" i="19"/>
  <c r="E23" i="19"/>
  <c r="H22" i="19"/>
  <c r="K17" i="19"/>
  <c r="H17" i="19"/>
  <c r="J16" i="19"/>
  <c r="I16" i="19"/>
  <c r="G16" i="19"/>
  <c r="F16" i="19"/>
  <c r="E16" i="19"/>
  <c r="K15" i="19"/>
  <c r="K16" i="19" s="1"/>
  <c r="H15" i="19"/>
  <c r="H16" i="19" s="1"/>
  <c r="K24" i="14"/>
  <c r="K25" i="14"/>
  <c r="H24" i="14"/>
  <c r="H25" i="14"/>
  <c r="G19" i="14"/>
  <c r="I19" i="14"/>
  <c r="J19" i="14"/>
  <c r="F19" i="14"/>
  <c r="K18" i="14"/>
  <c r="H18" i="14"/>
  <c r="H16" i="16"/>
  <c r="K16" i="16"/>
  <c r="K17" i="16"/>
  <c r="J19" i="16"/>
  <c r="G16" i="18"/>
  <c r="F16" i="18"/>
  <c r="G15" i="18"/>
  <c r="F15" i="18"/>
  <c r="F17" i="18" s="1"/>
  <c r="F18" i="18" s="1"/>
  <c r="J17" i="18"/>
  <c r="J18" i="18" s="1"/>
  <c r="I17" i="18"/>
  <c r="I18" i="18" s="1"/>
  <c r="E17" i="18"/>
  <c r="E18" i="18" s="1"/>
  <c r="K16" i="18"/>
  <c r="K15" i="18"/>
  <c r="J18" i="16"/>
  <c r="I18" i="16"/>
  <c r="I19" i="16" s="1"/>
  <c r="G18" i="16"/>
  <c r="G19" i="16" s="1"/>
  <c r="F18" i="16"/>
  <c r="F19" i="16" s="1"/>
  <c r="E18" i="16"/>
  <c r="E19" i="16" s="1"/>
  <c r="H17" i="16"/>
  <c r="K15" i="16"/>
  <c r="H15" i="16"/>
  <c r="J27" i="14"/>
  <c r="J28" i="14" s="1"/>
  <c r="I27" i="14"/>
  <c r="I28" i="14" s="1"/>
  <c r="F27" i="14"/>
  <c r="F28" i="14" s="1"/>
  <c r="E27" i="14"/>
  <c r="K26" i="14"/>
  <c r="H26" i="14"/>
  <c r="G27" i="14"/>
  <c r="G28" i="14" s="1"/>
  <c r="K23" i="14"/>
  <c r="H23" i="14"/>
  <c r="J22" i="14"/>
  <c r="I22" i="14"/>
  <c r="G22" i="14"/>
  <c r="F22" i="14"/>
  <c r="E22" i="14"/>
  <c r="K21" i="14"/>
  <c r="H21" i="14"/>
  <c r="K20" i="14"/>
  <c r="H20" i="14"/>
  <c r="E19" i="14"/>
  <c r="K17" i="14"/>
  <c r="H17" i="14"/>
  <c r="J16" i="14"/>
  <c r="I16" i="14"/>
  <c r="G16" i="14"/>
  <c r="E16" i="14"/>
  <c r="F16" i="14"/>
  <c r="K15" i="14"/>
  <c r="K16" i="14" s="1"/>
  <c r="H15" i="14"/>
  <c r="H16" i="14" s="1"/>
  <c r="E48" i="13"/>
  <c r="J43" i="13"/>
  <c r="I43" i="13"/>
  <c r="J48" i="13"/>
  <c r="I48" i="13"/>
  <c r="H47" i="13"/>
  <c r="G43" i="13"/>
  <c r="F43" i="13"/>
  <c r="G39" i="13"/>
  <c r="F39" i="13"/>
  <c r="G37" i="13"/>
  <c r="F37" i="13"/>
  <c r="G24" i="13"/>
  <c r="F24" i="13"/>
  <c r="G46" i="13"/>
  <c r="F46" i="13"/>
  <c r="G44" i="13"/>
  <c r="F44" i="13"/>
  <c r="G45" i="13"/>
  <c r="F45" i="13"/>
  <c r="K46" i="13"/>
  <c r="H38" i="13"/>
  <c r="H39" i="13" s="1"/>
  <c r="K38" i="13"/>
  <c r="E17" i="24" l="1"/>
  <c r="B15" i="24"/>
  <c r="E19" i="24"/>
  <c r="E9" i="24"/>
  <c r="E12" i="24"/>
  <c r="E16" i="24"/>
  <c r="H21" i="23"/>
  <c r="H22" i="23" s="1"/>
  <c r="E21" i="24"/>
  <c r="E20" i="24"/>
  <c r="E14" i="24"/>
  <c r="E11" i="24"/>
  <c r="E10" i="24"/>
  <c r="K18" i="23"/>
  <c r="H18" i="23"/>
  <c r="H19" i="22"/>
  <c r="H20" i="22" s="1"/>
  <c r="K19" i="22"/>
  <c r="K19" i="21"/>
  <c r="H19" i="21"/>
  <c r="F16" i="21"/>
  <c r="H57" i="20"/>
  <c r="K57" i="20"/>
  <c r="H33" i="20"/>
  <c r="H36" i="20" s="1"/>
  <c r="K48" i="20"/>
  <c r="K36" i="20"/>
  <c r="H48" i="20"/>
  <c r="K41" i="20"/>
  <c r="K45" i="20"/>
  <c r="H42" i="20"/>
  <c r="H45" i="20" s="1"/>
  <c r="F45" i="20"/>
  <c r="F36" i="20"/>
  <c r="H41" i="20"/>
  <c r="K24" i="20"/>
  <c r="K19" i="20"/>
  <c r="H24" i="20"/>
  <c r="H18" i="20"/>
  <c r="H19" i="20" s="1"/>
  <c r="K30" i="20"/>
  <c r="H30" i="20"/>
  <c r="K29" i="19"/>
  <c r="K34" i="19"/>
  <c r="K35" i="19" s="1"/>
  <c r="H34" i="19"/>
  <c r="J35" i="19"/>
  <c r="E35" i="19"/>
  <c r="I35" i="19"/>
  <c r="F35" i="19"/>
  <c r="G35" i="19"/>
  <c r="E28" i="14"/>
  <c r="H19" i="14"/>
  <c r="K19" i="14"/>
  <c r="G48" i="13"/>
  <c r="H46" i="13"/>
  <c r="F48" i="13"/>
  <c r="H16" i="18"/>
  <c r="H18" i="16"/>
  <c r="H19" i="16" s="1"/>
  <c r="K18" i="16"/>
  <c r="K19" i="16" s="1"/>
  <c r="G17" i="18"/>
  <c r="G18" i="18" s="1"/>
  <c r="K17" i="18"/>
  <c r="K18" i="18" s="1"/>
  <c r="H15" i="18"/>
  <c r="H17" i="18" s="1"/>
  <c r="H18" i="18" s="1"/>
  <c r="K27" i="14"/>
  <c r="K28" i="14" s="1"/>
  <c r="K22" i="14"/>
  <c r="H22" i="14"/>
  <c r="H27" i="14"/>
  <c r="H28" i="14" s="1"/>
  <c r="K42" i="13"/>
  <c r="H42" i="13"/>
  <c r="G33" i="13"/>
  <c r="F33" i="13"/>
  <c r="G29" i="13"/>
  <c r="F29" i="13"/>
  <c r="G32" i="13"/>
  <c r="F32" i="13"/>
  <c r="G30" i="13"/>
  <c r="F30" i="13"/>
  <c r="G19" i="13"/>
  <c r="G20" i="13" s="1"/>
  <c r="F19" i="13"/>
  <c r="F20" i="13" s="1"/>
  <c r="E43" i="13"/>
  <c r="K41" i="13"/>
  <c r="H41" i="13"/>
  <c r="K40" i="13"/>
  <c r="H40" i="13"/>
  <c r="H31" i="13"/>
  <c r="K32" i="13"/>
  <c r="K31" i="13"/>
  <c r="G26" i="13"/>
  <c r="G28" i="13" s="1"/>
  <c r="F26" i="13"/>
  <c r="F28" i="13" s="1"/>
  <c r="G16" i="13"/>
  <c r="G18" i="13" s="1"/>
  <c r="F16" i="13"/>
  <c r="F18" i="13" s="1"/>
  <c r="K47" i="13"/>
  <c r="K45" i="13"/>
  <c r="H45" i="13"/>
  <c r="K44" i="13"/>
  <c r="H44" i="13"/>
  <c r="J39" i="13"/>
  <c r="I39" i="13"/>
  <c r="E39" i="13"/>
  <c r="J37" i="13"/>
  <c r="I37" i="13"/>
  <c r="E37" i="13"/>
  <c r="K36" i="13"/>
  <c r="H36" i="13"/>
  <c r="K35" i="13"/>
  <c r="H35" i="13"/>
  <c r="G32" i="12"/>
  <c r="F32" i="12"/>
  <c r="G30" i="12"/>
  <c r="J30" i="12"/>
  <c r="K29" i="12"/>
  <c r="I30" i="12"/>
  <c r="H29" i="12"/>
  <c r="J34" i="13"/>
  <c r="I34" i="13"/>
  <c r="E34" i="13"/>
  <c r="K33" i="13"/>
  <c r="K30" i="13"/>
  <c r="K29" i="13"/>
  <c r="J28" i="13"/>
  <c r="I28" i="13"/>
  <c r="E28" i="13"/>
  <c r="K27" i="13"/>
  <c r="H27" i="13"/>
  <c r="K26" i="13"/>
  <c r="K25" i="13"/>
  <c r="H25" i="13"/>
  <c r="J24" i="13"/>
  <c r="I24" i="13"/>
  <c r="E24" i="13"/>
  <c r="K23" i="13"/>
  <c r="H23" i="13"/>
  <c r="K22" i="13"/>
  <c r="H22" i="13"/>
  <c r="K21" i="13"/>
  <c r="J20" i="13"/>
  <c r="I20" i="13"/>
  <c r="E20" i="13"/>
  <c r="K19" i="13"/>
  <c r="K20" i="13" s="1"/>
  <c r="J18" i="13"/>
  <c r="I18" i="13"/>
  <c r="E18" i="13"/>
  <c r="K17" i="13"/>
  <c r="H17" i="13"/>
  <c r="K16" i="13"/>
  <c r="K15" i="13"/>
  <c r="J38" i="12"/>
  <c r="I38" i="12"/>
  <c r="H35" i="12"/>
  <c r="G38" i="12"/>
  <c r="F38" i="12"/>
  <c r="E38" i="12"/>
  <c r="G28" i="12"/>
  <c r="F28" i="12"/>
  <c r="F30" i="12" s="1"/>
  <c r="G25" i="12"/>
  <c r="F25" i="12"/>
  <c r="G24" i="12"/>
  <c r="G27" i="12" s="1"/>
  <c r="F24" i="12"/>
  <c r="K37" i="12"/>
  <c r="H37" i="12"/>
  <c r="K36" i="12"/>
  <c r="H36" i="12"/>
  <c r="K35" i="12"/>
  <c r="J34" i="12"/>
  <c r="I34" i="12"/>
  <c r="G34" i="12"/>
  <c r="E34" i="12"/>
  <c r="K33" i="12"/>
  <c r="H33" i="12"/>
  <c r="K32" i="12"/>
  <c r="K31" i="12"/>
  <c r="H31" i="12"/>
  <c r="E30" i="12"/>
  <c r="K28" i="12"/>
  <c r="K30" i="12" s="1"/>
  <c r="K16" i="12"/>
  <c r="K17" i="12"/>
  <c r="K18" i="12"/>
  <c r="G17" i="12"/>
  <c r="F17" i="12"/>
  <c r="H18" i="12"/>
  <c r="H19" i="12"/>
  <c r="G16" i="12"/>
  <c r="F16" i="12"/>
  <c r="G15" i="12"/>
  <c r="G20" i="12" s="1"/>
  <c r="F15" i="12"/>
  <c r="G21" i="11"/>
  <c r="G23" i="11" s="1"/>
  <c r="F21" i="11"/>
  <c r="F23" i="11" s="1"/>
  <c r="F24" i="11" s="1"/>
  <c r="J27" i="12"/>
  <c r="I27" i="12"/>
  <c r="E27" i="12"/>
  <c r="K26" i="12"/>
  <c r="H26" i="12"/>
  <c r="K25" i="12"/>
  <c r="K24" i="12"/>
  <c r="J23" i="12"/>
  <c r="I23" i="12"/>
  <c r="E23" i="12"/>
  <c r="K22" i="12"/>
  <c r="H22" i="12"/>
  <c r="K21" i="12"/>
  <c r="G23" i="12"/>
  <c r="F23" i="12"/>
  <c r="J20" i="12"/>
  <c r="I20" i="12"/>
  <c r="E20" i="12"/>
  <c r="K19" i="12"/>
  <c r="K15" i="12"/>
  <c r="G19" i="11"/>
  <c r="H19" i="11" s="1"/>
  <c r="F18" i="11"/>
  <c r="F20" i="11" s="1"/>
  <c r="G18" i="11"/>
  <c r="J17" i="11"/>
  <c r="J24" i="11" s="1"/>
  <c r="I17" i="11"/>
  <c r="G17" i="11"/>
  <c r="F17" i="11"/>
  <c r="E17" i="11"/>
  <c r="E24" i="11" s="1"/>
  <c r="K16" i="11"/>
  <c r="H16" i="11"/>
  <c r="K15" i="11"/>
  <c r="H15" i="11"/>
  <c r="J23" i="11"/>
  <c r="I23" i="11"/>
  <c r="I24" i="11" s="1"/>
  <c r="K22" i="11"/>
  <c r="K19" i="11"/>
  <c r="H22" i="11"/>
  <c r="E23" i="11"/>
  <c r="K21" i="11"/>
  <c r="J20" i="11"/>
  <c r="I20" i="11"/>
  <c r="E20" i="11"/>
  <c r="K18" i="11"/>
  <c r="J19" i="7"/>
  <c r="I19" i="7"/>
  <c r="E19" i="7"/>
  <c r="G19" i="7"/>
  <c r="F19" i="7"/>
  <c r="J17" i="7"/>
  <c r="K16" i="7"/>
  <c r="G17" i="7"/>
  <c r="H16" i="7"/>
  <c r="F17" i="7"/>
  <c r="I17" i="7"/>
  <c r="E17" i="7"/>
  <c r="K18" i="7"/>
  <c r="K19" i="7" s="1"/>
  <c r="K15" i="7"/>
  <c r="H18" i="7"/>
  <c r="H19" i="7" s="1"/>
  <c r="H15" i="7"/>
  <c r="H35" i="19" l="1"/>
  <c r="H37" i="13"/>
  <c r="J49" i="13"/>
  <c r="I49" i="13"/>
  <c r="E49" i="13"/>
  <c r="H32" i="13"/>
  <c r="K43" i="13"/>
  <c r="H43" i="13"/>
  <c r="F34" i="13"/>
  <c r="F49" i="13" s="1"/>
  <c r="H48" i="13"/>
  <c r="G34" i="13"/>
  <c r="G49" i="13" s="1"/>
  <c r="K48" i="13"/>
  <c r="J39" i="12"/>
  <c r="E39" i="12"/>
  <c r="G20" i="11"/>
  <c r="G24" i="11" s="1"/>
  <c r="H19" i="13"/>
  <c r="H20" i="13" s="1"/>
  <c r="H29" i="13"/>
  <c r="H30" i="13"/>
  <c r="H26" i="13"/>
  <c r="H28" i="13" s="1"/>
  <c r="H33" i="13"/>
  <c r="H16" i="13"/>
  <c r="K39" i="13"/>
  <c r="K37" i="13"/>
  <c r="K28" i="13"/>
  <c r="H32" i="12"/>
  <c r="F34" i="12"/>
  <c r="G39" i="12"/>
  <c r="I39" i="12"/>
  <c r="H38" i="12"/>
  <c r="K38" i="12"/>
  <c r="H15" i="13"/>
  <c r="H21" i="13"/>
  <c r="H24" i="13" s="1"/>
  <c r="K24" i="13"/>
  <c r="K34" i="13"/>
  <c r="K18" i="13"/>
  <c r="H28" i="12"/>
  <c r="H30" i="12" s="1"/>
  <c r="H16" i="12"/>
  <c r="H25" i="12"/>
  <c r="H24" i="12"/>
  <c r="H27" i="12" s="1"/>
  <c r="F27" i="12"/>
  <c r="H34" i="12"/>
  <c r="K34" i="12"/>
  <c r="H17" i="12"/>
  <c r="H15" i="12"/>
  <c r="F20" i="12"/>
  <c r="K27" i="12"/>
  <c r="K23" i="12"/>
  <c r="K20" i="12"/>
  <c r="H21" i="11"/>
  <c r="H23" i="11" s="1"/>
  <c r="H24" i="11" s="1"/>
  <c r="H21" i="12"/>
  <c r="H23" i="12" s="1"/>
  <c r="K17" i="11"/>
  <c r="H17" i="11"/>
  <c r="K23" i="11"/>
  <c r="H18" i="11"/>
  <c r="H20" i="11" s="1"/>
  <c r="K20" i="11"/>
  <c r="F20" i="7"/>
  <c r="J20" i="7"/>
  <c r="E20" i="7"/>
  <c r="I20" i="7"/>
  <c r="G20" i="7"/>
  <c r="H17" i="7"/>
  <c r="H20" i="7" s="1"/>
  <c r="K17" i="7"/>
  <c r="K20" i="7" s="1"/>
  <c r="H18" i="13" l="1"/>
  <c r="K49" i="13"/>
  <c r="H34" i="13"/>
  <c r="H20" i="12"/>
  <c r="K24" i="11"/>
  <c r="F39" i="12"/>
  <c r="K39" i="12"/>
  <c r="H39" i="12"/>
  <c r="H49" i="13" l="1"/>
</calcChain>
</file>

<file path=xl/sharedStrings.xml><?xml version="1.0" encoding="utf-8"?>
<sst xmlns="http://schemas.openxmlformats.org/spreadsheetml/2006/main" count="579" uniqueCount="172">
  <si>
    <t>AGENCY</t>
  </si>
  <si>
    <t>REMARKS</t>
  </si>
  <si>
    <t>JENERICK INTERNATIONAL MANPOWER INC.</t>
  </si>
  <si>
    <t>MMML RECRUITMENT SERVICES INC.</t>
  </si>
  <si>
    <t>NANSEI TEIKOKU GLOBAL PLACEMENT SERVICES INC.</t>
  </si>
  <si>
    <t>CITY SOCIAL HALL, PEOPLES GOVERNMENT CENTER, CABADBARAN CITY</t>
  </si>
  <si>
    <t>EAST WEST PLACEMENT CENTER INC.</t>
  </si>
  <si>
    <t>March 13-14, 2025</t>
  </si>
  <si>
    <t>Municipal Covered Court, Brgy. Sta. Cruz, San Jose, Province of Dinagat Island</t>
  </si>
  <si>
    <t>PLACEWELL INTERNATIONAL SERVICES CORPORATION</t>
  </si>
  <si>
    <t>MARCH 27-28, 2025</t>
  </si>
  <si>
    <t>Cagdianao Cultural and Sports Center, Cagdianao, Province of Dinagat Islands</t>
  </si>
  <si>
    <t>CSUCC Gymnasium, Cabadbaran City</t>
  </si>
  <si>
    <t>FEMALE</t>
  </si>
  <si>
    <t>NO. OF JOBS FAIR FACILITATED/ SUPERVISED</t>
  </si>
  <si>
    <t>NUMBER OF REGISTERED APPLICANTS</t>
  </si>
  <si>
    <t xml:space="preserve">MALE </t>
  </si>
  <si>
    <t>NUMBER OF PARTICIPATING AGENCIES</t>
  </si>
  <si>
    <t>LAND BASED RECRUITMENT AGENCY</t>
  </si>
  <si>
    <t>SEA-BASED/ MANNING AGENCY</t>
  </si>
  <si>
    <t>TOTAL:</t>
  </si>
  <si>
    <t>MUNICIPALITY OF SAN JOSE, DINAGAT ISLAND</t>
  </si>
  <si>
    <t>MUNICIPALITY OF CAGDIANAO, DINAGAT ISLAND</t>
  </si>
  <si>
    <t xml:space="preserve"> JOB FAIR DATES</t>
  </si>
  <si>
    <t xml:space="preserve"> JOB FAIR VENUE</t>
  </si>
  <si>
    <t>GRAND TOTAL:</t>
  </si>
  <si>
    <t>Sub total:</t>
  </si>
  <si>
    <t>STARWORLD INTERNATIONAL MANPOWER &amp; PLACEMENT AGENCY INC.</t>
  </si>
  <si>
    <t>CARAGA STATE UNIVERSITY CABADBARAN CAMPUS (CSUCC)</t>
  </si>
  <si>
    <t>Prepared by:</t>
  </si>
  <si>
    <t>AURORA JEAN A. TORRALBA</t>
  </si>
  <si>
    <t>Labor and Employment Officer I</t>
  </si>
  <si>
    <t>Noted by:</t>
  </si>
  <si>
    <t>EDDIE PARAGUYA</t>
  </si>
  <si>
    <t>Senior Labor and Employment Officer</t>
  </si>
  <si>
    <t>JOB FAIR REPORT</t>
  </si>
  <si>
    <t>FOR THE MONTH OF MARCH 2025</t>
  </si>
  <si>
    <t>AGENCY/ INSTITUTION</t>
  </si>
  <si>
    <t>FOR THE MONTH OF APRIL 2025</t>
  </si>
  <si>
    <t>SAINT MICHAEL COLLEGE OF CARAGA</t>
  </si>
  <si>
    <t>SMCC Quadrangle, Nasipit Agusan del Norte</t>
  </si>
  <si>
    <t>Amphi Theater, Doña Maxima, San Luis, Agusan del Sur</t>
  </si>
  <si>
    <t>DOLE- AGUSAN DEL SUR AND PESO SAN LUIS</t>
  </si>
  <si>
    <t>ORGANIZER</t>
  </si>
  <si>
    <t>FOR THE MONTH OF MAY 2025</t>
  </si>
  <si>
    <t>DOLE CARAGA</t>
  </si>
  <si>
    <t>ROBINSONS PLACE, BUTUAN CITY</t>
  </si>
  <si>
    <t>PROVINCIAL GOVERNMENT OF DINAGAT ISLANDS THRU THE PROVINCIAL PUBLIC EMPLOYMENT SERVICE OFFICE (PPESO)</t>
  </si>
  <si>
    <t>May 1-2, 2025</t>
  </si>
  <si>
    <t>TABOO AREA, CAPITOL COMPOUND, BRGY. CUARINTA, SAN JOSE, DINAGAT ISLANDS</t>
  </si>
  <si>
    <t>EXCEL GREEN KARD INTERNATIONAL INC.</t>
  </si>
  <si>
    <t>DIMENSION-ALL MANPOWER INC.</t>
  </si>
  <si>
    <t>ST. THERESA COLLEGE INC. IN COORDINATION WITH DOLE-SDSFO</t>
  </si>
  <si>
    <t>ST. THERESA COLLEGE, INC., SURIGAO DEL SUR</t>
  </si>
  <si>
    <t>NORTHERN MINDANAO COLLEGES, INC.</t>
  </si>
  <si>
    <t>NEMSU TANDAG GROUND FLOOR ENGINEERING BUILDING, TANDAG, SURIGAO DEL SUR</t>
  </si>
  <si>
    <t>NORTH EASTERN MINDANAO STATE UNIVERSITY (NEMSU) IN COORDINATION WITH DOLE-SDSFO</t>
  </si>
  <si>
    <t>PUBLIC EMPLOYMENT SERVICE OFFICE RTR</t>
  </si>
  <si>
    <t>NEW RTR PUBLIC TERMINAL, RTR, AGUSAN DEL NORTE</t>
  </si>
  <si>
    <t>9K INTERNATIONAL MANPOWER &amp; RECRUITMENT SERVICES CORP</t>
  </si>
  <si>
    <t>COLLEGE BUILDING, NORMI, ATEGA STREET, CABADBARAN CITY</t>
  </si>
  <si>
    <t>FOR THE MONTH OF JUNE 2025</t>
  </si>
  <si>
    <t>DOLE-SDSFO AND NEMSU TAGBINA</t>
  </si>
  <si>
    <t>DOLE-SDSFO AND NEMSU LIANGA</t>
  </si>
  <si>
    <t>DOLE-SDSFO AND NEMSU CAGWAIT</t>
  </si>
  <si>
    <t>DOLE-CARAGA</t>
  </si>
  <si>
    <t>ROBINSON'S PLACE, BUTUAN CITY</t>
  </si>
  <si>
    <t>NEMSU TAGBINA GYMNASIUM, SURIGAO DEL SUR</t>
  </si>
  <si>
    <t>NEMSU LIANGA, SURIGAO DEL SUR</t>
  </si>
  <si>
    <t>NEMSU CAGWAIT THREE-STOREY BUILDING, SURIGAO DEL SUR</t>
  </si>
  <si>
    <t>DOLE-ADSFO AND PROVINCIAL GOVERNMENT OF AGUSAN DEL SUR</t>
  </si>
  <si>
    <t>JUNE 12-13, 2025</t>
  </si>
  <si>
    <t>DATU LIPUS MAKAPONDONG CULTURAL CENTER, GOV. D.O. PLAZA GOVERNMENT CENTER, PROSPERIDAD, AGUSAN DEL SUR</t>
  </si>
  <si>
    <t>MPESO-TUBAJON, DINAGAT ISLANDS</t>
  </si>
  <si>
    <t>JUNE 19-20, 2025</t>
  </si>
  <si>
    <t>TAN CHAN MINI GYM, MABINI TUBAJON, DINAGAT ISLANDS</t>
  </si>
  <si>
    <t>DOLE-ADSFO AND PESO- BAYUGAN CITY</t>
  </si>
  <si>
    <t>LOPE A. ASIS GYM, BAYUGAN CITY</t>
  </si>
  <si>
    <t>DOLE-ADSFO AND PESO- SAN FRANCISCO, AGUSAN DEL SUR</t>
  </si>
  <si>
    <t>GAISANO GRAND MALL, SAN FRANCISCO, AGUSAN DEL SUR</t>
  </si>
  <si>
    <t>ERRX RECRUITMENT CONSULTING INC.</t>
  </si>
  <si>
    <t>DOLE-ADSO AND PESO-BUNAWAN, AGUSAN DEL SUR</t>
  </si>
  <si>
    <t>SAN TEODORO GYMNASIUM, BUNAWAN, AGUSAN DEL SUR</t>
  </si>
  <si>
    <t>SIM-SOH INTERNATIONAL SERVICES INC.</t>
  </si>
  <si>
    <t>FOR THE MONTH OF JULY 2025</t>
  </si>
  <si>
    <t>LGU JABONGA AGUSAN DEL NORTE</t>
  </si>
  <si>
    <t>MPESO CARMEN AGUSAN DEL NORTE</t>
  </si>
  <si>
    <t>MUNICIPAL LOBBY, JABONGA, AGUSAN DEL NORTE</t>
  </si>
  <si>
    <t>MUNICIPAL GYM, CARMEN, AGUSAN DEL NORTE</t>
  </si>
  <si>
    <t>MPESO BUENAVISTA, AGUSAN DEL NORTE</t>
  </si>
  <si>
    <t>MUNICIPAL GYMNASIUM, AGUSAN DEL NORTE</t>
  </si>
  <si>
    <t>FOR THE MONTH OF JANUARY 2025</t>
  </si>
  <si>
    <t>Robinsons Place, Butuan City</t>
  </si>
  <si>
    <t>FOR THE MONTH OF FEBRUARY 2025</t>
  </si>
  <si>
    <t xml:space="preserve">LGU-CABADBARAN CITY </t>
  </si>
  <si>
    <t>PESO CABADBARAN CITY</t>
  </si>
  <si>
    <t>MARISSA A. GARAY</t>
  </si>
  <si>
    <t>Supervising Labor and Employment Officer</t>
  </si>
  <si>
    <t>MPESO LINGIG, SURIGAO DEL SUR AND DOLE-SDSFO</t>
  </si>
  <si>
    <t>MRRM OFFICE, LINGIG, SURIGAO DEL SUR</t>
  </si>
  <si>
    <t>FOR THE MONTH OF AUGUST 2025</t>
  </si>
  <si>
    <t>3RD FLOOR, EVENTS CENTER, SM BUTUAN, J.C. AQUINO AVE., BUTUAN CITY</t>
  </si>
  <si>
    <t>RMN DXBC/ IFM</t>
  </si>
  <si>
    <t>LGU BUTUAN</t>
  </si>
  <si>
    <t>AL-ALAMIA INTERNATIONAL MANPOWER SERVICES</t>
  </si>
  <si>
    <t>9K INTERNATIONAL MANPOWER &amp; RECRUITMENT SERVICES CORP.</t>
  </si>
  <si>
    <t>PLACEWELL INTERNATIONAL SERVICES CORP.</t>
  </si>
  <si>
    <t>DOLE-SDSFO</t>
  </si>
  <si>
    <t>MUNICIPAL PLAZA, HINATUAN, SURIGAO DEL SUR</t>
  </si>
  <si>
    <t>FOR THE MONTH OF SEPTEMBER 2025</t>
  </si>
  <si>
    <t>LOCAL GOVERNMENT UNIT OF BISLIG</t>
  </si>
  <si>
    <t>Bislig City Cultural and Sports Center, Bislig City, Surigao del Sur</t>
  </si>
  <si>
    <t>LGU-Madrid, Convention Center, Madrid, Surigao del Sur</t>
  </si>
  <si>
    <t>MUNICIPALITY OF MADRID, SURIGAO DEL SUR</t>
  </si>
  <si>
    <t>TESDA-CARAGA</t>
  </si>
  <si>
    <t>Naliyagan Ground, GDOP, Government Center, Patin-ay, Prosperidad, Agusan del Sur</t>
  </si>
  <si>
    <t>Robinsons Mall, J.C. Aquino Ave., Butuan City</t>
  </si>
  <si>
    <t>Barangay Gym, Mahayahay, San Jose, Dinagat Islands</t>
  </si>
  <si>
    <t>DOLE-PDIFO</t>
  </si>
  <si>
    <t>SMC MANPOWER AGENCY PHILIPPINES COMPANY</t>
  </si>
  <si>
    <t>LOCAL GOVERNMENT UNIT OF SURIGAO</t>
  </si>
  <si>
    <t>City Cultural Center, Surigao City</t>
  </si>
  <si>
    <t>MUNICIPALITY OF ESPERANZA, AGUSAN DEL SUR</t>
  </si>
  <si>
    <t>Datu Mankumbate Deo S. Manpalitan, Sr. Events and Cultural Center (Covered Court), Poblacion, Esperanza, Agusan del Sur</t>
  </si>
  <si>
    <t>SIM-SOH INTERNATIONAL SERVICES INC</t>
  </si>
  <si>
    <t>D.O. Plaza Park, Poblacion, Trento, Agusan del Sur</t>
  </si>
  <si>
    <t>MUNICIPALITY OF TRENTO, AGUSAN DEL SUR</t>
  </si>
  <si>
    <t>MUNICIPALITY OF SAN MIGUEL, SURIGAO DEL SUR</t>
  </si>
  <si>
    <t>Poblacion Gymnasium, Poblacion, San Miguel, Surigao del Sur</t>
  </si>
  <si>
    <t>PROVINCE OF DINAGAT ISLANDS</t>
  </si>
  <si>
    <t>Sept. 27-29, 2025</t>
  </si>
  <si>
    <t>Tabo Area, Capitol Grounds, Cuarinta, San Jose, Dinagat Islands</t>
  </si>
  <si>
    <t>MARMIC INTERNATIONAL PLACEMENT SERVICES</t>
  </si>
  <si>
    <t>GERDIN INTERNATIONAL MANPOWER INC.</t>
  </si>
  <si>
    <t>PREMIER GLOBAL RECRUITMENT OPC</t>
  </si>
  <si>
    <t>FOR THE MONTH OF OCTOBER 2025</t>
  </si>
  <si>
    <t>NATIONAL HOUSING AUTHORITY</t>
  </si>
  <si>
    <t>Capitol Covered Court, Butuan City</t>
  </si>
  <si>
    <t>PESO-BARABO, SURIGAO DEL SUR AND DOLE-SDSFO</t>
  </si>
  <si>
    <t>Municipal Gymnasium, Barobo, Surigao del Sur</t>
  </si>
  <si>
    <t>FOR THE MONTH OF NOVEMBER 2025</t>
  </si>
  <si>
    <t>MUNICIPALITY OF BUENAVISTA, AGUSAN DEL NORTE</t>
  </si>
  <si>
    <t>Municipal Gymnasium, Buenavista, Agusan del Norte</t>
  </si>
  <si>
    <t>RITE MERIT INTERNATIONAL</t>
  </si>
  <si>
    <t>FOR THE MONTH OF DECEMBER 2025</t>
  </si>
  <si>
    <t>Robinsons Mall, JC Aquino Ave., Butuan City</t>
  </si>
  <si>
    <t>Municipal Gymnasium, Tago, Surigao del Sur</t>
  </si>
  <si>
    <t>FY 2025</t>
  </si>
  <si>
    <t>MONTHS</t>
  </si>
  <si>
    <t>JANUARY</t>
  </si>
  <si>
    <t>FEBRUARY</t>
  </si>
  <si>
    <t>MARCH</t>
  </si>
  <si>
    <t>APRIL</t>
  </si>
  <si>
    <t xml:space="preserve">MAY </t>
  </si>
  <si>
    <t>JUNE</t>
  </si>
  <si>
    <t>JULY</t>
  </si>
  <si>
    <t xml:space="preserve">AUGUST </t>
  </si>
  <si>
    <t>SEPTEMBER</t>
  </si>
  <si>
    <t xml:space="preserve">OCTOBER </t>
  </si>
  <si>
    <t>NOVEMBER</t>
  </si>
  <si>
    <t>DECEMBER</t>
  </si>
  <si>
    <t>Approved by:</t>
  </si>
  <si>
    <t>RITCHEL M. BUTAO</t>
  </si>
  <si>
    <t>OIC-Regional Director</t>
  </si>
  <si>
    <t>MIGRANT WORKERS PROCESSING DIVISION</t>
  </si>
  <si>
    <t>REGIENALD S. ESPALDON, CPA</t>
  </si>
  <si>
    <t>OIC-Assistant Regional Director</t>
  </si>
  <si>
    <t>Chief Administrative Officer and</t>
  </si>
  <si>
    <t>EP / IJEP / MAG</t>
  </si>
  <si>
    <t>SUMMARY OF JOBS FAIR FACILITATED/ SUPERVISED REPORT</t>
  </si>
  <si>
    <t xml:space="preserve"> </t>
  </si>
  <si>
    <t>SUB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</si>
</sst>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409]dd\-mmm\-yy;@"/>
  </numFmts>
  <fonts count="4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rgb="FF0000FF"/>
      <name val="Calibri"/>
      <family val="2"/>
    </font>
    <font>
      <sz val="11"/>
      <name val="Calibri"/>
      <family val="2"/>
    </font>
    <font>
      <b/>
      <i/>
      <sz val="11"/>
      <name val="Calibri"/>
      <family val="2"/>
      <scheme val="minor"/>
    </font>
    <font>
      <b/>
      <i/>
      <sz val="11"/>
      <name val="Calibri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i/>
      <sz val="11"/>
      <color theme="1"/>
      <name val="Tahoma"/>
      <family val="2"/>
    </font>
    <font>
      <b/>
      <i/>
      <sz val="11"/>
      <name val="Tahoma"/>
      <family val="2"/>
    </font>
    <font>
      <b/>
      <sz val="11"/>
      <color rgb="FF0000FF"/>
      <name val="Tahoma"/>
      <family val="2"/>
    </font>
    <font>
      <i/>
      <sz val="10"/>
      <color theme="1"/>
      <name val="Tahoma"/>
      <family val="2"/>
    </font>
    <font>
      <b/>
      <sz val="14"/>
      <color theme="1"/>
      <name val="Tahoma"/>
      <family val="2"/>
    </font>
    <font>
      <i/>
      <sz val="11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6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wrapText="1"/>
    </xf>
    <xf numFmtId="15" fontId="0" fillId="0" borderId="4" xfId="0" applyNumberFormat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32" fillId="0" borderId="0" xfId="0" applyFont="1" applyAlignment="1">
      <alignment wrapText="1"/>
    </xf>
    <xf numFmtId="0" fontId="25" fillId="2" borderId="4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0" fontId="28" fillId="2" borderId="4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 wrapText="1"/>
    </xf>
    <xf numFmtId="0" fontId="25" fillId="4" borderId="4" xfId="0" applyFont="1" applyFill="1" applyBorder="1" applyAlignment="1">
      <alignment horizontal="center" vertical="center" wrapText="1"/>
    </xf>
    <xf numFmtId="0" fontId="28" fillId="4" borderId="4" xfId="0" applyFont="1" applyFill="1" applyBorder="1" applyAlignment="1">
      <alignment horizontal="center" vertical="center" wrapText="1"/>
    </xf>
    <xf numFmtId="0" fontId="30" fillId="4" borderId="4" xfId="0" applyFont="1" applyFill="1" applyBorder="1" applyAlignment="1">
      <alignment horizontal="center" vertical="center" wrapText="1"/>
    </xf>
    <xf numFmtId="0" fontId="29" fillId="0" borderId="0" xfId="0" applyFont="1" applyAlignment="1">
      <alignment wrapText="1"/>
    </xf>
    <xf numFmtId="0" fontId="24" fillId="0" borderId="2" xfId="0" applyFont="1" applyBorder="1" applyAlignment="1">
      <alignment horizontal="left" vertical="center" wrapText="1"/>
    </xf>
    <xf numFmtId="0" fontId="27" fillId="4" borderId="12" xfId="0" applyFont="1" applyFill="1" applyBorder="1" applyAlignment="1">
      <alignment horizontal="center" vertical="center" wrapText="1"/>
    </xf>
    <xf numFmtId="0" fontId="30" fillId="4" borderId="12" xfId="0" applyFont="1" applyFill="1" applyBorder="1" applyAlignment="1">
      <alignment horizontal="center" vertical="center" wrapText="1"/>
    </xf>
    <xf numFmtId="0" fontId="30" fillId="3" borderId="11" xfId="0" applyFont="1" applyFill="1" applyBorder="1" applyAlignment="1">
      <alignment horizontal="center" vertical="center" wrapText="1"/>
    </xf>
    <xf numFmtId="0" fontId="28" fillId="3" borderId="11" xfId="0" applyFont="1" applyFill="1" applyBorder="1" applyAlignment="1">
      <alignment horizontal="center" vertical="center" wrapText="1"/>
    </xf>
    <xf numFmtId="0" fontId="31" fillId="3" borderId="15" xfId="0" applyFont="1" applyFill="1" applyBorder="1" applyAlignment="1">
      <alignment horizontal="center" vertical="center" wrapText="1"/>
    </xf>
    <xf numFmtId="0" fontId="31" fillId="2" borderId="16" xfId="0" applyFont="1" applyFill="1" applyBorder="1" applyAlignment="1">
      <alignment horizontal="center" vertical="center" wrapText="1"/>
    </xf>
    <xf numFmtId="0" fontId="31" fillId="4" borderId="16" xfId="0" applyFont="1" applyFill="1" applyBorder="1" applyAlignment="1">
      <alignment horizontal="center" vertical="center" wrapText="1"/>
    </xf>
    <xf numFmtId="0" fontId="31" fillId="4" borderId="1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27" fillId="0" borderId="0" xfId="0" applyFont="1"/>
    <xf numFmtId="0" fontId="33" fillId="0" borderId="0" xfId="0" applyFont="1"/>
    <xf numFmtId="164" fontId="23" fillId="0" borderId="0" xfId="0" applyNumberFormat="1" applyFont="1" applyAlignment="1">
      <alignment horizontal="left" vertical="center" wrapText="1"/>
    </xf>
    <xf numFmtId="0" fontId="27" fillId="0" borderId="0" xfId="0" applyFont="1" applyAlignment="1">
      <alignment horizontal="center" wrapText="1"/>
    </xf>
    <xf numFmtId="0" fontId="27" fillId="0" borderId="0" xfId="0" applyFont="1" applyAlignment="1">
      <alignment horizontal="center" vertical="center" wrapText="1"/>
    </xf>
    <xf numFmtId="164" fontId="2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wrapText="1"/>
    </xf>
    <xf numFmtId="0" fontId="33" fillId="0" borderId="0" xfId="0" applyFont="1" applyAlignment="1">
      <alignment horizontal="center" vertical="center" wrapText="1"/>
    </xf>
    <xf numFmtId="164" fontId="33" fillId="0" borderId="0" xfId="0" applyNumberFormat="1" applyFont="1" applyAlignment="1">
      <alignment vertical="center"/>
    </xf>
    <xf numFmtId="0" fontId="33" fillId="0" borderId="0" xfId="0" applyFont="1" applyAlignment="1">
      <alignment wrapText="1"/>
    </xf>
    <xf numFmtId="0" fontId="23" fillId="0" borderId="2" xfId="0" applyFont="1" applyBorder="1" applyAlignment="1">
      <alignment horizontal="left" vertical="center" wrapText="1"/>
    </xf>
    <xf numFmtId="0" fontId="30" fillId="3" borderId="24" xfId="0" applyFont="1" applyFill="1" applyBorder="1" applyAlignment="1">
      <alignment horizontal="center" vertical="center" wrapText="1"/>
    </xf>
    <xf numFmtId="0" fontId="31" fillId="3" borderId="27" xfId="0" applyFont="1" applyFill="1" applyBorder="1" applyAlignment="1">
      <alignment horizontal="center" vertical="center" wrapText="1"/>
    </xf>
    <xf numFmtId="0" fontId="25" fillId="4" borderId="6" xfId="0" applyFont="1" applyFill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0" fontId="30" fillId="4" borderId="6" xfId="0" applyFont="1" applyFill="1" applyBorder="1" applyAlignment="1">
      <alignment horizontal="center" vertical="center" wrapText="1"/>
    </xf>
    <xf numFmtId="0" fontId="31" fillId="4" borderId="29" xfId="0" applyFont="1" applyFill="1" applyBorder="1" applyAlignment="1">
      <alignment horizontal="center" vertical="center" wrapText="1"/>
    </xf>
    <xf numFmtId="0" fontId="25" fillId="2" borderId="11" xfId="0" applyFont="1" applyFill="1" applyBorder="1" applyAlignment="1">
      <alignment horizontal="center" vertical="center" wrapText="1"/>
    </xf>
    <xf numFmtId="0" fontId="27" fillId="2" borderId="12" xfId="0" applyFont="1" applyFill="1" applyBorder="1" applyAlignment="1">
      <alignment horizontal="center" vertical="center" wrapText="1"/>
    </xf>
    <xf numFmtId="0" fontId="28" fillId="2" borderId="11" xfId="0" applyFont="1" applyFill="1" applyBorder="1" applyAlignment="1">
      <alignment horizontal="center" vertical="center" wrapText="1"/>
    </xf>
    <xf numFmtId="0" fontId="30" fillId="2" borderId="12" xfId="0" applyFont="1" applyFill="1" applyBorder="1" applyAlignment="1">
      <alignment horizontal="center" vertical="center" wrapText="1"/>
    </xf>
    <xf numFmtId="0" fontId="30" fillId="2" borderId="11" xfId="0" applyFont="1" applyFill="1" applyBorder="1" applyAlignment="1">
      <alignment horizontal="center" vertical="center" wrapText="1"/>
    </xf>
    <xf numFmtId="0" fontId="31" fillId="2" borderId="15" xfId="0" applyFont="1" applyFill="1" applyBorder="1" applyAlignment="1">
      <alignment horizontal="center" vertical="center" wrapText="1"/>
    </xf>
    <xf numFmtId="0" fontId="22" fillId="0" borderId="2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30" fillId="3" borderId="4" xfId="0" applyFont="1" applyFill="1" applyBorder="1" applyAlignment="1">
      <alignment horizontal="center" vertical="center" wrapText="1"/>
    </xf>
    <xf numFmtId="0" fontId="31" fillId="3" borderId="4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0" fontId="31" fillId="4" borderId="4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5" fontId="0" fillId="0" borderId="1" xfId="0" applyNumberFormat="1" applyBorder="1" applyAlignment="1">
      <alignment horizontal="center" vertical="center" wrapText="1"/>
    </xf>
    <xf numFmtId="0" fontId="28" fillId="3" borderId="4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31" fillId="4" borderId="30" xfId="0" applyFont="1" applyFill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35" fillId="4" borderId="4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15" fontId="0" fillId="0" borderId="1" xfId="0" quotePrefix="1" applyNumberFormat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36" fillId="4" borderId="4" xfId="0" applyFont="1" applyFill="1" applyBorder="1" applyAlignment="1">
      <alignment horizontal="center" vertical="center" wrapText="1"/>
    </xf>
    <xf numFmtId="0" fontId="36" fillId="2" borderId="4" xfId="0" applyFont="1" applyFill="1" applyBorder="1" applyAlignment="1">
      <alignment horizontal="center" vertical="center" wrapText="1"/>
    </xf>
    <xf numFmtId="0" fontId="38" fillId="0" borderId="4" xfId="0" applyFont="1" applyBorder="1" applyAlignment="1">
      <alignment horizontal="center" vertical="center" wrapText="1"/>
    </xf>
    <xf numFmtId="0" fontId="37" fillId="0" borderId="0" xfId="0" applyFont="1" applyAlignment="1">
      <alignment wrapText="1"/>
    </xf>
    <xf numFmtId="0" fontId="9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39" fillId="0" borderId="0" xfId="0" applyFont="1" applyAlignment="1">
      <alignment horizontal="center" vertical="center" wrapText="1"/>
    </xf>
    <xf numFmtId="0" fontId="39" fillId="0" borderId="0" xfId="0" applyFont="1" applyAlignment="1">
      <alignment wrapText="1"/>
    </xf>
    <xf numFmtId="0" fontId="40" fillId="2" borderId="4" xfId="0" applyFont="1" applyFill="1" applyBorder="1" applyAlignment="1">
      <alignment horizontal="center" vertical="center" wrapText="1"/>
    </xf>
    <xf numFmtId="0" fontId="40" fillId="4" borderId="4" xfId="0" applyFont="1" applyFill="1" applyBorder="1" applyAlignment="1">
      <alignment horizontal="center" vertical="center" wrapText="1"/>
    </xf>
    <xf numFmtId="0" fontId="39" fillId="0" borderId="1" xfId="0" applyFont="1" applyBorder="1" applyAlignment="1">
      <alignment horizontal="left" vertical="center" wrapText="1"/>
    </xf>
    <xf numFmtId="15" fontId="39" fillId="0" borderId="1" xfId="0" applyNumberFormat="1" applyFont="1" applyBorder="1" applyAlignment="1">
      <alignment horizontal="center" vertical="center" wrapText="1"/>
    </xf>
    <xf numFmtId="0" fontId="39" fillId="0" borderId="2" xfId="0" applyFont="1" applyBorder="1" applyAlignment="1">
      <alignment horizontal="left" vertical="center" wrapText="1"/>
    </xf>
    <xf numFmtId="0" fontId="39" fillId="3" borderId="4" xfId="0" applyFont="1" applyFill="1" applyBorder="1" applyAlignment="1">
      <alignment horizontal="center" vertical="center" wrapText="1"/>
    </xf>
    <xf numFmtId="0" fontId="39" fillId="2" borderId="4" xfId="0" applyFont="1" applyFill="1" applyBorder="1" applyAlignment="1">
      <alignment horizontal="center" vertical="center" wrapText="1"/>
    </xf>
    <xf numFmtId="0" fontId="41" fillId="2" borderId="4" xfId="0" applyFont="1" applyFill="1" applyBorder="1" applyAlignment="1">
      <alignment horizontal="center" vertical="center" wrapText="1"/>
    </xf>
    <xf numFmtId="0" fontId="39" fillId="4" borderId="4" xfId="0" applyFont="1" applyFill="1" applyBorder="1" applyAlignment="1">
      <alignment horizontal="center" vertical="center" wrapText="1"/>
    </xf>
    <xf numFmtId="0" fontId="41" fillId="4" borderId="4" xfId="0" applyFont="1" applyFill="1" applyBorder="1" applyAlignment="1">
      <alignment horizontal="center" vertical="center" wrapText="1"/>
    </xf>
    <xf numFmtId="0" fontId="40" fillId="0" borderId="4" xfId="0" applyFont="1" applyBorder="1" applyAlignment="1">
      <alignment horizontal="left" vertical="center" wrapText="1"/>
    </xf>
    <xf numFmtId="0" fontId="42" fillId="0" borderId="4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left" vertical="center" wrapText="1"/>
    </xf>
    <xf numFmtId="0" fontId="39" fillId="0" borderId="4" xfId="0" applyFont="1" applyBorder="1" applyAlignment="1">
      <alignment horizontal="left" vertical="center" wrapText="1"/>
    </xf>
    <xf numFmtId="0" fontId="42" fillId="0" borderId="6" xfId="0" applyFont="1" applyBorder="1" applyAlignment="1">
      <alignment horizontal="left" vertical="center" wrapText="1"/>
    </xf>
    <xf numFmtId="0" fontId="40" fillId="0" borderId="6" xfId="0" applyFont="1" applyBorder="1" applyAlignment="1">
      <alignment horizontal="left" vertical="center" wrapText="1"/>
    </xf>
    <xf numFmtId="0" fontId="43" fillId="0" borderId="4" xfId="0" applyFont="1" applyBorder="1" applyAlignment="1">
      <alignment horizontal="center" vertical="center" wrapText="1"/>
    </xf>
    <xf numFmtId="0" fontId="43" fillId="0" borderId="6" xfId="0" applyFont="1" applyBorder="1" applyAlignment="1">
      <alignment horizontal="center" vertical="center" wrapText="1"/>
    </xf>
    <xf numFmtId="0" fontId="39" fillId="0" borderId="0" xfId="0" applyFont="1" applyAlignment="1">
      <alignment horizontal="center" wrapText="1"/>
    </xf>
    <xf numFmtId="164" fontId="39" fillId="0" borderId="0" xfId="0" applyNumberFormat="1" applyFont="1" applyAlignment="1">
      <alignment horizontal="left" vertical="center" wrapText="1"/>
    </xf>
    <xf numFmtId="0" fontId="40" fillId="0" borderId="0" xfId="0" applyFont="1"/>
    <xf numFmtId="0" fontId="40" fillId="0" borderId="0" xfId="0" applyFont="1" applyAlignment="1">
      <alignment horizontal="center" wrapText="1"/>
    </xf>
    <xf numFmtId="0" fontId="40" fillId="0" borderId="0" xfId="0" applyFont="1" applyAlignment="1">
      <alignment horizontal="center" vertical="center" wrapText="1"/>
    </xf>
    <xf numFmtId="164" fontId="40" fillId="0" borderId="0" xfId="0" applyNumberFormat="1" applyFont="1" applyAlignment="1">
      <alignment horizontal="left" vertical="center"/>
    </xf>
    <xf numFmtId="0" fontId="40" fillId="0" borderId="0" xfId="0" applyFont="1" applyAlignment="1">
      <alignment wrapText="1"/>
    </xf>
    <xf numFmtId="0" fontId="44" fillId="0" borderId="0" xfId="0" applyFont="1"/>
    <xf numFmtId="0" fontId="44" fillId="0" borderId="0" xfId="0" applyFont="1" applyAlignment="1">
      <alignment horizontal="center" wrapText="1"/>
    </xf>
    <xf numFmtId="0" fontId="44" fillId="0" borderId="0" xfId="0" applyFont="1" applyAlignment="1">
      <alignment horizontal="center" vertical="center" wrapText="1"/>
    </xf>
    <xf numFmtId="164" fontId="44" fillId="0" borderId="0" xfId="0" applyNumberFormat="1" applyFont="1" applyAlignment="1">
      <alignment vertical="center"/>
    </xf>
    <xf numFmtId="0" fontId="44" fillId="0" borderId="0" xfId="0" applyFont="1" applyAlignment="1">
      <alignment wrapText="1"/>
    </xf>
    <xf numFmtId="164" fontId="39" fillId="0" borderId="0" xfId="0" applyNumberFormat="1" applyFont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24" fillId="0" borderId="11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15" fontId="39" fillId="0" borderId="4" xfId="0" applyNumberFormat="1" applyFont="1" applyBorder="1" applyAlignment="1">
      <alignment horizontal="center" vertical="center" wrapText="1"/>
    </xf>
    <xf numFmtId="0" fontId="39" fillId="0" borderId="39" xfId="0" applyFont="1" applyBorder="1" applyAlignment="1">
      <alignment vertical="center" wrapText="1"/>
    </xf>
    <xf numFmtId="0" fontId="39" fillId="0" borderId="40" xfId="0" applyFont="1" applyBorder="1" applyAlignment="1">
      <alignment vertical="center" wrapText="1"/>
    </xf>
    <xf numFmtId="0" fontId="39" fillId="0" borderId="44" xfId="0" applyFont="1" applyBorder="1" applyAlignment="1">
      <alignment vertical="center" wrapText="1"/>
    </xf>
    <xf numFmtId="0" fontId="39" fillId="0" borderId="45" xfId="0" applyFont="1" applyBorder="1" applyAlignment="1">
      <alignment vertical="center" wrapText="1"/>
    </xf>
    <xf numFmtId="0" fontId="39" fillId="0" borderId="4" xfId="0" applyFont="1" applyBorder="1" applyAlignment="1">
      <alignment vertical="center" wrapText="1"/>
    </xf>
    <xf numFmtId="0" fontId="40" fillId="0" borderId="4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0" fillId="0" borderId="3" xfId="0" applyFont="1" applyBorder="1" applyAlignment="1">
      <alignment horizontal="center" vertical="center" wrapText="1"/>
    </xf>
    <xf numFmtId="0" fontId="40" fillId="0" borderId="48" xfId="0" applyFont="1" applyBorder="1" applyAlignment="1">
      <alignment horizontal="center" vertical="center" wrapText="1"/>
    </xf>
    <xf numFmtId="0" fontId="40" fillId="0" borderId="49" xfId="0" applyFont="1" applyBorder="1" applyAlignment="1">
      <alignment horizontal="center" vertical="center" wrapText="1"/>
    </xf>
    <xf numFmtId="0" fontId="40" fillId="0" borderId="50" xfId="0" applyFont="1" applyBorder="1" applyAlignment="1">
      <alignment horizontal="center" vertical="center" wrapText="1"/>
    </xf>
    <xf numFmtId="0" fontId="40" fillId="0" borderId="14" xfId="0" applyFont="1" applyBorder="1" applyAlignment="1">
      <alignment horizontal="center" vertical="center" wrapText="1"/>
    </xf>
    <xf numFmtId="0" fontId="40" fillId="0" borderId="23" xfId="0" applyFont="1" applyBorder="1" applyAlignment="1">
      <alignment horizontal="center" vertical="center" wrapText="1"/>
    </xf>
    <xf numFmtId="0" fontId="40" fillId="0" borderId="11" xfId="0" applyFont="1" applyBorder="1" applyAlignment="1">
      <alignment horizontal="center" vertical="center" wrapText="1"/>
    </xf>
    <xf numFmtId="0" fontId="40" fillId="0" borderId="12" xfId="0" applyFont="1" applyBorder="1" applyAlignment="1">
      <alignment horizontal="center" vertical="center" wrapText="1"/>
    </xf>
    <xf numFmtId="0" fontId="40" fillId="0" borderId="13" xfId="0" applyFont="1" applyBorder="1" applyAlignment="1">
      <alignment horizontal="center" vertical="center" wrapText="1"/>
    </xf>
    <xf numFmtId="0" fontId="40" fillId="0" borderId="22" xfId="0" applyFont="1" applyBorder="1" applyAlignment="1">
      <alignment horizontal="center" vertical="center" wrapText="1"/>
    </xf>
    <xf numFmtId="164" fontId="39" fillId="0" borderId="0" xfId="0" applyNumberFormat="1" applyFont="1" applyAlignment="1">
      <alignment horizontal="left" vertical="center"/>
    </xf>
    <xf numFmtId="0" fontId="39" fillId="0" borderId="0" xfId="0" applyFont="1"/>
    <xf numFmtId="1" fontId="39" fillId="0" borderId="0" xfId="0" applyNumberFormat="1" applyFont="1"/>
    <xf numFmtId="0" fontId="46" fillId="0" borderId="0" xfId="0" applyFont="1"/>
    <xf numFmtId="0" fontId="46" fillId="0" borderId="0" xfId="0" applyFont="1" applyAlignment="1">
      <alignment horizontal="center" vertical="center" wrapText="1"/>
    </xf>
    <xf numFmtId="164" fontId="46" fillId="0" borderId="0" xfId="0" applyNumberFormat="1" applyFont="1" applyAlignment="1">
      <alignment vertical="center"/>
    </xf>
    <xf numFmtId="0" fontId="40" fillId="5" borderId="16" xfId="0" applyFont="1" applyFill="1" applyBorder="1" applyAlignment="1">
      <alignment horizontal="center" vertical="center" wrapText="1"/>
    </xf>
    <xf numFmtId="0" fontId="40" fillId="5" borderId="15" xfId="0" applyFont="1" applyFill="1" applyBorder="1" applyAlignment="1">
      <alignment horizontal="center" vertical="center" wrapText="1"/>
    </xf>
    <xf numFmtId="0" fontId="40" fillId="5" borderId="17" xfId="0" applyFont="1" applyFill="1" applyBorder="1" applyAlignment="1">
      <alignment horizontal="center" vertical="center" wrapText="1"/>
    </xf>
    <xf numFmtId="1" fontId="40" fillId="5" borderId="46" xfId="0" applyNumberFormat="1" applyFont="1" applyFill="1" applyBorder="1" applyAlignment="1">
      <alignment horizontal="center" vertical="center" wrapText="1"/>
    </xf>
    <xf numFmtId="0" fontId="40" fillId="0" borderId="52" xfId="0" applyFont="1" applyBorder="1" applyAlignment="1">
      <alignment horizontal="center" vertical="center" wrapText="1"/>
    </xf>
    <xf numFmtId="0" fontId="40" fillId="4" borderId="46" xfId="0" applyFont="1" applyFill="1" applyBorder="1" applyAlignment="1">
      <alignment horizontal="center" vertical="center" wrapText="1"/>
    </xf>
    <xf numFmtId="0" fontId="45" fillId="0" borderId="0" xfId="0" applyFont="1" applyAlignment="1">
      <alignment horizontal="center" wrapText="1"/>
    </xf>
    <xf numFmtId="0" fontId="40" fillId="5" borderId="47" xfId="0" applyFont="1" applyFill="1" applyBorder="1" applyAlignment="1">
      <alignment horizontal="center" vertical="center" wrapText="1"/>
    </xf>
    <xf numFmtId="0" fontId="40" fillId="5" borderId="51" xfId="0" applyFont="1" applyFill="1" applyBorder="1" applyAlignment="1">
      <alignment horizontal="center" vertical="center" wrapText="1"/>
    </xf>
    <xf numFmtId="164" fontId="40" fillId="5" borderId="47" xfId="0" applyNumberFormat="1" applyFont="1" applyFill="1" applyBorder="1" applyAlignment="1">
      <alignment horizontal="center" vertical="center" wrapText="1"/>
    </xf>
    <xf numFmtId="164" fontId="40" fillId="5" borderId="51" xfId="0" applyNumberFormat="1" applyFont="1" applyFill="1" applyBorder="1" applyAlignment="1">
      <alignment horizontal="center" vertical="center" wrapText="1"/>
    </xf>
    <xf numFmtId="0" fontId="40" fillId="5" borderId="19" xfId="0" applyFont="1" applyFill="1" applyBorder="1" applyAlignment="1">
      <alignment horizontal="center" vertical="center" wrapText="1"/>
    </xf>
    <xf numFmtId="0" fontId="40" fillId="5" borderId="20" xfId="0" applyFont="1" applyFill="1" applyBorder="1" applyAlignment="1">
      <alignment horizontal="center" vertical="center" wrapText="1"/>
    </xf>
    <xf numFmtId="0" fontId="40" fillId="5" borderId="21" xfId="0" applyFont="1" applyFill="1" applyBorder="1" applyAlignment="1">
      <alignment horizontal="center" vertical="center" wrapText="1"/>
    </xf>
    <xf numFmtId="0" fontId="28" fillId="3" borderId="13" xfId="0" applyFont="1" applyFill="1" applyBorder="1" applyAlignment="1">
      <alignment horizontal="center" vertical="center" wrapText="1"/>
    </xf>
    <xf numFmtId="0" fontId="28" fillId="3" borderId="14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right" vertical="center" wrapText="1"/>
    </xf>
    <xf numFmtId="0" fontId="29" fillId="0" borderId="5" xfId="0" applyFont="1" applyBorder="1" applyAlignment="1">
      <alignment horizontal="right" vertical="center" wrapText="1"/>
    </xf>
    <xf numFmtId="0" fontId="29" fillId="0" borderId="18" xfId="0" applyFont="1" applyBorder="1" applyAlignment="1">
      <alignment horizontal="right" vertical="center" wrapText="1"/>
    </xf>
    <xf numFmtId="0" fontId="34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23" fillId="0" borderId="0" xfId="0" applyFont="1" applyAlignment="1">
      <alignment horizontal="center" wrapText="1"/>
    </xf>
    <xf numFmtId="164" fontId="25" fillId="3" borderId="11" xfId="0" applyNumberFormat="1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25" fillId="4" borderId="4" xfId="0" applyFont="1" applyFill="1" applyBorder="1" applyAlignment="1">
      <alignment horizontal="center" vertical="center" wrapText="1"/>
    </xf>
    <xf numFmtId="0" fontId="25" fillId="4" borderId="12" xfId="0" applyFont="1" applyFill="1" applyBorder="1" applyAlignment="1">
      <alignment horizontal="center" vertical="center" wrapText="1"/>
    </xf>
    <xf numFmtId="0" fontId="31" fillId="0" borderId="2" xfId="0" applyFont="1" applyBorder="1" applyAlignment="1">
      <alignment horizontal="right" wrapText="1"/>
    </xf>
    <xf numFmtId="0" fontId="31" fillId="0" borderId="5" xfId="0" applyFont="1" applyBorder="1" applyAlignment="1">
      <alignment horizontal="right" wrapText="1"/>
    </xf>
    <xf numFmtId="0" fontId="27" fillId="0" borderId="1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left" vertical="center" wrapText="1"/>
    </xf>
    <xf numFmtId="15" fontId="0" fillId="0" borderId="1" xfId="0" applyNumberFormat="1" applyBorder="1" applyAlignment="1">
      <alignment horizontal="center" vertical="center" wrapText="1"/>
    </xf>
    <xf numFmtId="15" fontId="0" fillId="0" borderId="3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4" fillId="0" borderId="7" xfId="0" applyFont="1" applyBorder="1" applyAlignment="1">
      <alignment horizontal="left" vertical="center" wrapText="1"/>
    </xf>
    <xf numFmtId="15" fontId="0" fillId="0" borderId="7" xfId="0" applyNumberFormat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28" fillId="3" borderId="31" xfId="0" applyFont="1" applyFill="1" applyBorder="1" applyAlignment="1">
      <alignment horizontal="center" vertical="center" wrapText="1"/>
    </xf>
    <xf numFmtId="0" fontId="31" fillId="0" borderId="27" xfId="0" applyFont="1" applyBorder="1" applyAlignment="1">
      <alignment horizontal="right" wrapText="1"/>
    </xf>
    <xf numFmtId="0" fontId="31" fillId="0" borderId="37" xfId="0" applyFont="1" applyBorder="1" applyAlignment="1">
      <alignment horizontal="right" wrapText="1"/>
    </xf>
    <xf numFmtId="0" fontId="25" fillId="2" borderId="20" xfId="0" applyFont="1" applyFill="1" applyBorder="1" applyAlignment="1">
      <alignment horizontal="center" vertical="center" wrapText="1"/>
    </xf>
    <xf numFmtId="0" fontId="27" fillId="0" borderId="36" xfId="0" applyFont="1" applyBorder="1" applyAlignment="1">
      <alignment horizontal="center" vertical="center" wrapText="1"/>
    </xf>
    <xf numFmtId="0" fontId="25" fillId="4" borderId="20" xfId="0" applyFont="1" applyFill="1" applyBorder="1" applyAlignment="1">
      <alignment horizontal="center" vertical="center" wrapText="1"/>
    </xf>
    <xf numFmtId="0" fontId="25" fillId="4" borderId="21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164" fontId="25" fillId="3" borderId="19" xfId="0" applyNumberFormat="1" applyFont="1" applyFill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4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29" fillId="0" borderId="24" xfId="0" applyFont="1" applyBorder="1" applyAlignment="1">
      <alignment horizontal="right" vertical="center" wrapText="1"/>
    </xf>
    <xf numFmtId="0" fontId="0" fillId="0" borderId="4" xfId="0" applyBorder="1" applyAlignment="1">
      <alignment horizontal="left" vertical="center" wrapText="1"/>
    </xf>
    <xf numFmtId="0" fontId="28" fillId="3" borderId="25" xfId="0" applyFont="1" applyFill="1" applyBorder="1" applyAlignment="1">
      <alignment horizontal="center" vertical="center" wrapText="1"/>
    </xf>
    <xf numFmtId="0" fontId="28" fillId="3" borderId="26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23" fillId="0" borderId="7" xfId="0" applyFont="1" applyBorder="1" applyAlignment="1">
      <alignment horizontal="left" vertical="center" wrapText="1"/>
    </xf>
    <xf numFmtId="0" fontId="23" fillId="0" borderId="4" xfId="0" applyFont="1" applyBorder="1" applyAlignment="1">
      <alignment horizontal="left" vertical="center" wrapText="1"/>
    </xf>
    <xf numFmtId="15" fontId="0" fillId="0" borderId="4" xfId="0" applyNumberFormat="1" applyBorder="1" applyAlignment="1">
      <alignment horizontal="center" vertical="center" wrapText="1"/>
    </xf>
    <xf numFmtId="164" fontId="25" fillId="3" borderId="10" xfId="0" applyNumberFormat="1" applyFont="1" applyFill="1" applyBorder="1" applyAlignment="1">
      <alignment horizontal="center" vertical="center" wrapText="1"/>
    </xf>
    <xf numFmtId="164" fontId="25" fillId="3" borderId="24" xfId="0" applyNumberFormat="1" applyFont="1" applyFill="1" applyBorder="1" applyAlignment="1">
      <alignment horizontal="center" vertical="center" wrapText="1"/>
    </xf>
    <xf numFmtId="0" fontId="25" fillId="2" borderId="19" xfId="0" applyFont="1" applyFill="1" applyBorder="1" applyAlignment="1">
      <alignment horizontal="center" vertical="center" wrapText="1"/>
    </xf>
    <xf numFmtId="0" fontId="25" fillId="2" borderId="21" xfId="0" applyFont="1" applyFill="1" applyBorder="1" applyAlignment="1">
      <alignment horizontal="center" vertical="center" wrapText="1"/>
    </xf>
    <xf numFmtId="0" fontId="25" fillId="4" borderId="28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28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21" fillId="0" borderId="0" xfId="0" applyFont="1" applyAlignment="1">
      <alignment horizontal="center" wrapText="1"/>
    </xf>
    <xf numFmtId="0" fontId="27" fillId="0" borderId="8" xfId="0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164" fontId="25" fillId="3" borderId="4" xfId="0" applyNumberFormat="1" applyFont="1" applyFill="1" applyBorder="1" applyAlignment="1">
      <alignment horizontal="center" vertical="center" wrapText="1"/>
    </xf>
    <xf numFmtId="0" fontId="21" fillId="0" borderId="7" xfId="0" applyFont="1" applyBorder="1" applyAlignment="1">
      <alignment horizontal="left" vertical="center" wrapText="1"/>
    </xf>
    <xf numFmtId="15" fontId="0" fillId="0" borderId="4" xfId="0" quotePrefix="1" applyNumberFormat="1" applyBorder="1" applyAlignment="1">
      <alignment horizontal="center" vertical="center" wrapText="1"/>
    </xf>
    <xf numFmtId="0" fontId="17" fillId="0" borderId="0" xfId="0" applyFont="1" applyAlignment="1">
      <alignment horizontal="center" wrapText="1"/>
    </xf>
    <xf numFmtId="0" fontId="15" fillId="0" borderId="4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37" fillId="0" borderId="2" xfId="0" applyFont="1" applyBorder="1" applyAlignment="1">
      <alignment horizontal="right" vertical="center" wrapText="1"/>
    </xf>
    <xf numFmtId="0" fontId="37" fillId="0" borderId="5" xfId="0" applyFont="1" applyBorder="1" applyAlignment="1">
      <alignment horizontal="right" vertical="center" wrapText="1"/>
    </xf>
    <xf numFmtId="0" fontId="14" fillId="0" borderId="4" xfId="0" applyFont="1" applyBorder="1" applyAlignment="1">
      <alignment horizontal="left" vertical="center" wrapText="1"/>
    </xf>
    <xf numFmtId="0" fontId="36" fillId="3" borderId="4" xfId="0" applyFont="1" applyFill="1" applyBorder="1" applyAlignment="1">
      <alignment horizontal="center" vertical="center" wrapText="1"/>
    </xf>
    <xf numFmtId="0" fontId="39" fillId="3" borderId="1" xfId="0" applyFont="1" applyFill="1" applyBorder="1" applyAlignment="1">
      <alignment horizontal="center" vertical="center" wrapText="1"/>
    </xf>
    <xf numFmtId="0" fontId="39" fillId="3" borderId="3" xfId="0" applyFont="1" applyFill="1" applyBorder="1" applyAlignment="1">
      <alignment horizontal="center" vertical="center" wrapText="1"/>
    </xf>
    <xf numFmtId="0" fontId="42" fillId="0" borderId="2" xfId="0" applyFont="1" applyBorder="1" applyAlignment="1">
      <alignment horizontal="right" vertical="center" wrapText="1"/>
    </xf>
    <xf numFmtId="0" fontId="42" fillId="0" borderId="5" xfId="0" applyFont="1" applyBorder="1" applyAlignment="1">
      <alignment horizontal="right" vertical="center" wrapText="1"/>
    </xf>
    <xf numFmtId="0" fontId="43" fillId="0" borderId="2" xfId="0" applyFont="1" applyBorder="1" applyAlignment="1">
      <alignment horizontal="right" wrapText="1"/>
    </xf>
    <xf numFmtId="0" fontId="43" fillId="0" borderId="5" xfId="0" applyFont="1" applyBorder="1" applyAlignment="1">
      <alignment horizontal="right" wrapText="1"/>
    </xf>
    <xf numFmtId="0" fontId="39" fillId="0" borderId="8" xfId="0" applyFont="1" applyBorder="1" applyAlignment="1">
      <alignment horizontal="left" vertical="center" wrapText="1"/>
    </xf>
    <xf numFmtId="0" fontId="39" fillId="0" borderId="9" xfId="0" applyFont="1" applyBorder="1" applyAlignment="1">
      <alignment horizontal="left" vertical="center" wrapText="1"/>
    </xf>
    <xf numFmtId="15" fontId="39" fillId="0" borderId="4" xfId="0" applyNumberFormat="1" applyFont="1" applyBorder="1" applyAlignment="1">
      <alignment horizontal="center" vertical="center" wrapText="1"/>
    </xf>
    <xf numFmtId="0" fontId="39" fillId="0" borderId="32" xfId="0" applyFont="1" applyBorder="1" applyAlignment="1">
      <alignment horizontal="left" vertical="center" wrapText="1"/>
    </xf>
    <xf numFmtId="0" fontId="39" fillId="0" borderId="33" xfId="0" applyFont="1" applyBorder="1" applyAlignment="1">
      <alignment horizontal="left" vertical="center" wrapText="1"/>
    </xf>
    <xf numFmtId="0" fontId="39" fillId="0" borderId="4" xfId="0" applyFont="1" applyBorder="1" applyAlignment="1">
      <alignment horizontal="left" vertical="center" wrapText="1"/>
    </xf>
    <xf numFmtId="0" fontId="39" fillId="3" borderId="4" xfId="0" applyFont="1" applyFill="1" applyBorder="1" applyAlignment="1">
      <alignment horizontal="center" vertical="center" wrapText="1"/>
    </xf>
    <xf numFmtId="0" fontId="40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0" fontId="40" fillId="0" borderId="1" xfId="0" applyFont="1" applyBorder="1" applyAlignment="1">
      <alignment horizontal="center" vertical="center" wrapText="1"/>
    </xf>
    <xf numFmtId="0" fontId="40" fillId="0" borderId="3" xfId="0" applyFont="1" applyBorder="1" applyAlignment="1">
      <alignment horizontal="center" vertical="center" wrapText="1"/>
    </xf>
    <xf numFmtId="0" fontId="40" fillId="0" borderId="8" xfId="0" applyFont="1" applyBorder="1" applyAlignment="1">
      <alignment horizontal="center" vertical="center" wrapText="1"/>
    </xf>
    <xf numFmtId="0" fontId="40" fillId="0" borderId="9" xfId="0" applyFont="1" applyBorder="1" applyAlignment="1">
      <alignment horizontal="center" vertical="center" wrapText="1"/>
    </xf>
    <xf numFmtId="164" fontId="40" fillId="3" borderId="4" xfId="0" applyNumberFormat="1" applyFont="1" applyFill="1" applyBorder="1" applyAlignment="1">
      <alignment horizontal="center" vertical="center" wrapText="1"/>
    </xf>
    <xf numFmtId="0" fontId="40" fillId="2" borderId="4" xfId="0" applyFont="1" applyFill="1" applyBorder="1" applyAlignment="1">
      <alignment horizontal="center" vertical="center" wrapText="1"/>
    </xf>
    <xf numFmtId="0" fontId="40" fillId="4" borderId="4" xfId="0" applyFont="1" applyFill="1" applyBorder="1" applyAlignment="1">
      <alignment horizontal="center" vertical="center" wrapText="1"/>
    </xf>
    <xf numFmtId="0" fontId="39" fillId="0" borderId="0" xfId="0" applyFont="1" applyAlignment="1">
      <alignment horizontal="left" vertical="center" wrapText="1"/>
    </xf>
    <xf numFmtId="0" fontId="39" fillId="0" borderId="41" xfId="0" applyFont="1" applyBorder="1" applyAlignment="1">
      <alignment vertical="center" wrapText="1"/>
    </xf>
    <xf numFmtId="0" fontId="39" fillId="0" borderId="42" xfId="0" applyFont="1" applyBorder="1" applyAlignment="1">
      <alignment vertical="center" wrapText="1"/>
    </xf>
    <xf numFmtId="0" fontId="39" fillId="0" borderId="43" xfId="0" applyFont="1" applyBorder="1" applyAlignment="1">
      <alignment vertical="center" wrapText="1"/>
    </xf>
    <xf numFmtId="15" fontId="39" fillId="0" borderId="41" xfId="0" applyNumberFormat="1" applyFont="1" applyBorder="1" applyAlignment="1">
      <alignment horizontal="center" vertical="center" wrapText="1"/>
    </xf>
    <xf numFmtId="15" fontId="39" fillId="0" borderId="42" xfId="0" applyNumberFormat="1" applyFont="1" applyBorder="1" applyAlignment="1">
      <alignment horizontal="center" vertical="center" wrapText="1"/>
    </xf>
    <xf numFmtId="15" fontId="39" fillId="0" borderId="43" xfId="0" applyNumberFormat="1" applyFont="1" applyBorder="1" applyAlignment="1">
      <alignment horizontal="center" vertical="center" wrapText="1"/>
    </xf>
    <xf numFmtId="0" fontId="39" fillId="0" borderId="38" xfId="0" applyFont="1" applyBorder="1" applyAlignment="1">
      <alignment horizontal="left" vertical="center" wrapText="1"/>
    </xf>
    <xf numFmtId="0" fontId="39" fillId="3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42" fillId="0" borderId="4" xfId="0" applyFont="1" applyBorder="1" applyAlignment="1">
      <alignment horizontal="right" vertical="center" wrapText="1"/>
    </xf>
    <xf numFmtId="0" fontId="43" fillId="0" borderId="4" xfId="0" applyFont="1" applyBorder="1" applyAlignment="1">
      <alignment horizontal="right" wrapText="1"/>
    </xf>
    <xf numFmtId="0" fontId="39" fillId="0" borderId="4" xfId="0" applyFont="1" applyBorder="1" applyAlignment="1">
      <alignment vertical="center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1211580</xdr:colOff>
      <xdr:row>1</xdr:row>
      <xdr:rowOff>99060</xdr:rowOff>
    </xdr:from>
    <xdr:to>
      <xdr:col>7</xdr:col>
      <xdr:colOff>15835</xdr:colOff>
      <xdr:row>7</xdr:row>
      <xdr:rowOff>122017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5293B5-D6C0-4999-B689-6BD3F6205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0820" y="281940"/>
          <a:ext cx="6866215" cy="11202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167640</xdr:colOff>
      <xdr:row>1</xdr:row>
      <xdr:rowOff>68580</xdr:rowOff>
    </xdr:from>
    <xdr:to>
      <xdr:col>7</xdr:col>
      <xdr:colOff>267295</xdr:colOff>
      <xdr:row>7</xdr:row>
      <xdr:rowOff>91537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96A4E3-D8C0-491D-A6F6-61BD8F5BC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2280" y="251460"/>
          <a:ext cx="6866215" cy="11202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167640</xdr:colOff>
      <xdr:row>1</xdr:row>
      <xdr:rowOff>68580</xdr:rowOff>
    </xdr:from>
    <xdr:to>
      <xdr:col>7</xdr:col>
      <xdr:colOff>267295</xdr:colOff>
      <xdr:row>7</xdr:row>
      <xdr:rowOff>91537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C43C46-6893-A56D-E586-948E54B60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2280" y="251460"/>
          <a:ext cx="6866215" cy="11202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167640</xdr:colOff>
      <xdr:row>1</xdr:row>
      <xdr:rowOff>68580</xdr:rowOff>
    </xdr:from>
    <xdr:to>
      <xdr:col>8</xdr:col>
      <xdr:colOff>198714</xdr:colOff>
      <xdr:row>7</xdr:row>
      <xdr:rowOff>91537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E4DF22-4CEE-4D1E-8AC5-7938164EF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2280" y="251460"/>
          <a:ext cx="6866215" cy="11202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644852</xdr:colOff>
      <xdr:row>2</xdr:row>
      <xdr:rowOff>37792</xdr:rowOff>
    </xdr:from>
    <xdr:to>
      <xdr:col>6</xdr:col>
      <xdr:colOff>537381</xdr:colOff>
      <xdr:row>8</xdr:row>
      <xdr:rowOff>60750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740225-E6BB-4D4D-8030-408737374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3882" y="407247"/>
          <a:ext cx="6865984" cy="113132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714125</xdr:colOff>
      <xdr:row>1</xdr:row>
      <xdr:rowOff>168640</xdr:rowOff>
    </xdr:from>
    <xdr:to>
      <xdr:col>7</xdr:col>
      <xdr:colOff>98654</xdr:colOff>
      <xdr:row>8</xdr:row>
      <xdr:rowOff>6870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2EC709-15C8-4BDB-A768-2748AF852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3155" y="353367"/>
          <a:ext cx="6865984" cy="113132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714125</xdr:colOff>
      <xdr:row>1</xdr:row>
      <xdr:rowOff>168640</xdr:rowOff>
    </xdr:from>
    <xdr:to>
      <xdr:col>6</xdr:col>
      <xdr:colOff>506594</xdr:colOff>
      <xdr:row>8</xdr:row>
      <xdr:rowOff>6870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1B47E6-3CCF-4003-BB46-20FCD3894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3925" y="351520"/>
          <a:ext cx="6867369" cy="111839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714125</xdr:colOff>
      <xdr:row>1</xdr:row>
      <xdr:rowOff>168640</xdr:rowOff>
    </xdr:from>
    <xdr:to>
      <xdr:col>6</xdr:col>
      <xdr:colOff>506594</xdr:colOff>
      <xdr:row>8</xdr:row>
      <xdr:rowOff>6870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E5B6BA-24C0-44DB-9959-5920FFD32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3925" y="351520"/>
          <a:ext cx="6863829" cy="111839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1069879</xdr:colOff>
      <xdr:row>1</xdr:row>
      <xdr:rowOff>130849</xdr:rowOff>
    </xdr:from>
    <xdr:to>
      <xdr:col>6</xdr:col>
      <xdr:colOff>549684</xdr:colOff>
      <xdr:row>8</xdr:row>
      <xdr:rowOff>109511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C9663B-9AD2-4676-BBD3-9C5CF7F8F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8909" y="315576"/>
          <a:ext cx="6553320" cy="127175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1069879</xdr:colOff>
      <xdr:row>1</xdr:row>
      <xdr:rowOff>130849</xdr:rowOff>
    </xdr:from>
    <xdr:to>
      <xdr:col>6</xdr:col>
      <xdr:colOff>549684</xdr:colOff>
      <xdr:row>8</xdr:row>
      <xdr:rowOff>109511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736135-AC83-486F-AA8D-06AB90BAB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9679" y="313729"/>
          <a:ext cx="6551165" cy="125882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1069879</xdr:colOff>
      <xdr:row>1</xdr:row>
      <xdr:rowOff>130849</xdr:rowOff>
    </xdr:from>
    <xdr:to>
      <xdr:col>6</xdr:col>
      <xdr:colOff>549684</xdr:colOff>
      <xdr:row>8</xdr:row>
      <xdr:rowOff>109511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2636D1-326E-4362-80CC-C6295AC36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9679" y="313729"/>
          <a:ext cx="6551165" cy="125882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1069879</xdr:colOff>
      <xdr:row>1</xdr:row>
      <xdr:rowOff>130849</xdr:rowOff>
    </xdr:from>
    <xdr:to>
      <xdr:col>6</xdr:col>
      <xdr:colOff>549684</xdr:colOff>
      <xdr:row>8</xdr:row>
      <xdr:rowOff>109511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463F31-330B-4340-AA61-BEB47E675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79679" y="313729"/>
          <a:ext cx="6551165" cy="12588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3E8B1-2E6E-4630-B8C0-2A54E528DD60}">
  <sheetPr>
    <pageSetUpPr fitToPage="1"/>
  </sheetPr>
  <dimension ref="A1:L42"/>
  <sheetViews>
    <sheetView tabSelected="1" workbookViewId="0">
      <selection activeCell="B18" sqref="B18"/>
    </sheetView>
  </sheetViews>
  <sheetFormatPr defaultRowHeight="14.25"/>
  <cols>
    <col min="1" max="1" width="20.7109375" style="135" customWidth="1"/>
    <col min="2" max="2" width="16.7109375" style="135" customWidth="1"/>
    <col min="3" max="3" width="12.7109375" style="135" customWidth="1"/>
    <col min="4" max="4" width="12" style="135" customWidth="1"/>
    <col min="5" max="5" width="10.7109375" style="135" customWidth="1"/>
    <col min="6" max="6" width="16.42578125" style="135" customWidth="1"/>
    <col min="7" max="7" width="17.5703125" style="135" customWidth="1"/>
    <col min="8" max="16384" width="9.140625" style="135"/>
  </cols>
  <sheetData>
    <row r="1" spans="1:7">
      <c r="A1" s="81"/>
      <c r="B1" s="112"/>
      <c r="C1" s="80"/>
      <c r="D1" s="80"/>
      <c r="E1" s="80"/>
      <c r="F1" s="80"/>
      <c r="G1" s="80"/>
    </row>
    <row r="2" spans="1:7">
      <c r="A2" s="81"/>
      <c r="B2" s="112"/>
      <c r="C2" s="80"/>
      <c r="D2" s="80"/>
      <c r="E2" s="80"/>
      <c r="F2" s="80"/>
      <c r="G2" s="80"/>
    </row>
    <row r="3" spans="1:7" ht="18">
      <c r="A3" s="146" t="s">
        <v>164</v>
      </c>
      <c r="B3" s="146"/>
      <c r="C3" s="146"/>
      <c r="D3" s="146"/>
      <c r="E3" s="146"/>
      <c r="F3" s="146"/>
      <c r="G3" s="146"/>
    </row>
    <row r="4" spans="1:7" ht="18">
      <c r="A4" s="146" t="s">
        <v>169</v>
      </c>
      <c r="B4" s="146"/>
      <c r="C4" s="146"/>
      <c r="D4" s="146"/>
      <c r="E4" s="146"/>
      <c r="F4" s="146"/>
      <c r="G4" s="146"/>
    </row>
    <row r="5" spans="1:7" ht="18">
      <c r="A5" s="146" t="s">
        <v>147</v>
      </c>
      <c r="B5" s="146"/>
      <c r="C5" s="146"/>
      <c r="D5" s="146"/>
      <c r="E5" s="146"/>
      <c r="F5" s="146"/>
      <c r="G5" s="146"/>
    </row>
    <row r="6" spans="1:7" ht="15" thickBot="1">
      <c r="A6" s="81"/>
      <c r="B6" s="112"/>
      <c r="C6" s="80"/>
      <c r="D6" s="80"/>
      <c r="E6" s="80"/>
      <c r="F6" s="80"/>
      <c r="G6" s="80"/>
    </row>
    <row r="7" spans="1:7" ht="35.450000000000003" customHeight="1">
      <c r="A7" s="147" t="s">
        <v>148</v>
      </c>
      <c r="B7" s="149" t="s">
        <v>14</v>
      </c>
      <c r="C7" s="151" t="s">
        <v>15</v>
      </c>
      <c r="D7" s="152"/>
      <c r="E7" s="153"/>
      <c r="F7" s="151" t="s">
        <v>17</v>
      </c>
      <c r="G7" s="153"/>
    </row>
    <row r="8" spans="1:7" ht="43.5" thickBot="1">
      <c r="A8" s="148"/>
      <c r="B8" s="150"/>
      <c r="C8" s="141" t="s">
        <v>16</v>
      </c>
      <c r="D8" s="140" t="s">
        <v>13</v>
      </c>
      <c r="E8" s="142" t="s">
        <v>20</v>
      </c>
      <c r="F8" s="141" t="s">
        <v>18</v>
      </c>
      <c r="G8" s="142" t="s">
        <v>19</v>
      </c>
    </row>
    <row r="9" spans="1:7">
      <c r="A9" s="127" t="s">
        <v>149</v>
      </c>
      <c r="B9" s="127">
        <f>JAN!E18</f>
        <v>1</v>
      </c>
      <c r="C9" s="128">
        <f>JAN!F18</f>
        <v>25</v>
      </c>
      <c r="D9" s="124">
        <f>JAN!G18</f>
        <v>20</v>
      </c>
      <c r="E9" s="129">
        <f>SUM(C9:D9)</f>
        <v>45</v>
      </c>
      <c r="F9" s="128">
        <f>JAN!I18</f>
        <v>2</v>
      </c>
      <c r="G9" s="129">
        <f>JAN!J18</f>
        <v>0</v>
      </c>
    </row>
    <row r="10" spans="1:7">
      <c r="A10" s="125" t="s">
        <v>150</v>
      </c>
      <c r="B10" s="125">
        <f>FEB!E19</f>
        <v>1</v>
      </c>
      <c r="C10" s="130">
        <f>FEB!F19</f>
        <v>16</v>
      </c>
      <c r="D10" s="122">
        <f>FEB!G19</f>
        <v>6</v>
      </c>
      <c r="E10" s="129">
        <f t="shared" ref="E10:E21" si="0">SUM(C10:D10)</f>
        <v>22</v>
      </c>
      <c r="F10" s="130">
        <f>FEB!I19</f>
        <v>3</v>
      </c>
      <c r="G10" s="131">
        <f>FEB!J19</f>
        <v>0</v>
      </c>
    </row>
    <row r="11" spans="1:7">
      <c r="A11" s="125" t="s">
        <v>151</v>
      </c>
      <c r="B11" s="125">
        <f>MAR!E20</f>
        <v>2</v>
      </c>
      <c r="C11" s="130">
        <f>MAR!F20</f>
        <v>20</v>
      </c>
      <c r="D11" s="122">
        <f>MAR!G20</f>
        <v>17</v>
      </c>
      <c r="E11" s="129">
        <f t="shared" si="0"/>
        <v>37</v>
      </c>
      <c r="F11" s="130">
        <f>MAR!I20</f>
        <v>3</v>
      </c>
      <c r="G11" s="131">
        <f>MAR!J20</f>
        <v>0</v>
      </c>
    </row>
    <row r="12" spans="1:7">
      <c r="A12" s="125" t="s">
        <v>152</v>
      </c>
      <c r="B12" s="125">
        <f>APR!E24</f>
        <v>3</v>
      </c>
      <c r="C12" s="130">
        <f>APR!F24</f>
        <v>26</v>
      </c>
      <c r="D12" s="122">
        <f>APR!G24</f>
        <v>72</v>
      </c>
      <c r="E12" s="129">
        <f t="shared" si="0"/>
        <v>98</v>
      </c>
      <c r="F12" s="130">
        <f>APR!I24</f>
        <v>6</v>
      </c>
      <c r="G12" s="131">
        <f>APR!J24</f>
        <v>0</v>
      </c>
    </row>
    <row r="13" spans="1:7">
      <c r="A13" s="125" t="s">
        <v>153</v>
      </c>
      <c r="B13" s="125">
        <f>MAY!E39</f>
        <v>6</v>
      </c>
      <c r="C13" s="130">
        <f>MAY!F39</f>
        <v>173</v>
      </c>
      <c r="D13" s="122">
        <f>MAY!G39</f>
        <v>189</v>
      </c>
      <c r="E13" s="129">
        <f t="shared" si="0"/>
        <v>362</v>
      </c>
      <c r="F13" s="130">
        <f>MAY!I39</f>
        <v>18</v>
      </c>
      <c r="G13" s="131">
        <f>MAY!J39</f>
        <v>0</v>
      </c>
    </row>
    <row r="14" spans="1:7" ht="15" thickBot="1">
      <c r="A14" s="126" t="s">
        <v>154</v>
      </c>
      <c r="B14" s="126">
        <f>JUNE!E49</f>
        <v>9</v>
      </c>
      <c r="C14" s="132">
        <f>JUNE!F49</f>
        <v>188</v>
      </c>
      <c r="D14" s="123">
        <f>JUNE!G49</f>
        <v>205</v>
      </c>
      <c r="E14" s="144">
        <f t="shared" si="0"/>
        <v>393</v>
      </c>
      <c r="F14" s="132">
        <f>JUNE!I49</f>
        <v>25</v>
      </c>
      <c r="G14" s="133">
        <f>JUNE!J49</f>
        <v>0</v>
      </c>
    </row>
    <row r="15" spans="1:7" ht="15" thickBot="1">
      <c r="A15" s="145" t="s">
        <v>171</v>
      </c>
      <c r="B15" s="145">
        <f>SUM(B9:B14)</f>
        <v>22</v>
      </c>
      <c r="C15" s="145">
        <f t="shared" ref="C15:G15" si="1">SUM(C9:C14)</f>
        <v>448</v>
      </c>
      <c r="D15" s="145">
        <f t="shared" si="1"/>
        <v>509</v>
      </c>
      <c r="E15" s="145">
        <f t="shared" si="1"/>
        <v>957</v>
      </c>
      <c r="F15" s="145">
        <f t="shared" si="1"/>
        <v>57</v>
      </c>
      <c r="G15" s="145">
        <f t="shared" si="1"/>
        <v>0</v>
      </c>
    </row>
    <row r="16" spans="1:7">
      <c r="A16" s="127" t="s">
        <v>155</v>
      </c>
      <c r="B16" s="127">
        <f>JULY!E28</f>
        <v>4</v>
      </c>
      <c r="C16" s="128">
        <f>JULY!F28</f>
        <v>66</v>
      </c>
      <c r="D16" s="124">
        <f>JULY!G28</f>
        <v>46</v>
      </c>
      <c r="E16" s="129">
        <f t="shared" si="0"/>
        <v>112</v>
      </c>
      <c r="F16" s="128">
        <f>JULY!I28</f>
        <v>9</v>
      </c>
      <c r="G16" s="129">
        <f>JULY!J28</f>
        <v>0</v>
      </c>
    </row>
    <row r="17" spans="1:12">
      <c r="A17" s="125" t="s">
        <v>156</v>
      </c>
      <c r="B17" s="125">
        <f>AUG!E35</f>
        <v>4</v>
      </c>
      <c r="C17" s="130">
        <f>AUG!F35</f>
        <v>90</v>
      </c>
      <c r="D17" s="122">
        <f>AUG!G35</f>
        <v>135</v>
      </c>
      <c r="E17" s="129">
        <f t="shared" si="0"/>
        <v>225</v>
      </c>
      <c r="F17" s="130">
        <f>AUG!I35</f>
        <v>16</v>
      </c>
      <c r="G17" s="131">
        <f>AUG!J35</f>
        <v>0</v>
      </c>
    </row>
    <row r="18" spans="1:12">
      <c r="A18" s="125" t="s">
        <v>157</v>
      </c>
      <c r="B18" s="125">
        <f>SEP!E58</f>
        <v>11</v>
      </c>
      <c r="C18" s="130">
        <f>SEP!F58</f>
        <v>438</v>
      </c>
      <c r="D18" s="122">
        <f>SEP!G58</f>
        <v>293</v>
      </c>
      <c r="E18" s="129">
        <f t="shared" si="0"/>
        <v>731</v>
      </c>
      <c r="F18" s="130">
        <f>SEP!I58</f>
        <v>32</v>
      </c>
      <c r="G18" s="131">
        <f>SEP!J58</f>
        <v>0</v>
      </c>
    </row>
    <row r="19" spans="1:12">
      <c r="A19" s="125" t="s">
        <v>158</v>
      </c>
      <c r="B19" s="125">
        <f>OCT!E20</f>
        <v>2</v>
      </c>
      <c r="C19" s="130">
        <f>OCT!F20</f>
        <v>8</v>
      </c>
      <c r="D19" s="122">
        <f>OCT!G20</f>
        <v>11</v>
      </c>
      <c r="E19" s="129">
        <f t="shared" si="0"/>
        <v>19</v>
      </c>
      <c r="F19" s="130">
        <f>OCT!I20</f>
        <v>3</v>
      </c>
      <c r="G19" s="131">
        <f>OCT!J20</f>
        <v>0</v>
      </c>
    </row>
    <row r="20" spans="1:12">
      <c r="A20" s="125" t="s">
        <v>159</v>
      </c>
      <c r="B20" s="125">
        <f>NOV!E20</f>
        <v>1</v>
      </c>
      <c r="C20" s="130">
        <f>NOV!F20</f>
        <v>39</v>
      </c>
      <c r="D20" s="122">
        <f>NOV!G20</f>
        <v>25</v>
      </c>
      <c r="E20" s="129">
        <f t="shared" si="0"/>
        <v>64</v>
      </c>
      <c r="F20" s="130">
        <f>NOV!I20</f>
        <v>4</v>
      </c>
      <c r="G20" s="131">
        <f>NOV!J20</f>
        <v>0</v>
      </c>
    </row>
    <row r="21" spans="1:12" ht="15" thickBot="1">
      <c r="A21" s="126" t="s">
        <v>160</v>
      </c>
      <c r="B21" s="126">
        <f>DEC!$E$22</f>
        <v>2</v>
      </c>
      <c r="C21" s="132">
        <f>DEC!$F$22</f>
        <v>19</v>
      </c>
      <c r="D21" s="123">
        <f>DEC!$G$22</f>
        <v>25</v>
      </c>
      <c r="E21" s="144">
        <f t="shared" si="0"/>
        <v>44</v>
      </c>
      <c r="F21" s="132">
        <f>DEC!$I$22</f>
        <v>5</v>
      </c>
      <c r="G21" s="133">
        <f>DEC!$J$22</f>
        <v>0</v>
      </c>
      <c r="L21" s="135" t="s">
        <v>170</v>
      </c>
    </row>
    <row r="22" spans="1:12" ht="15" thickBot="1">
      <c r="A22" s="145" t="s">
        <v>171</v>
      </c>
      <c r="B22" s="145">
        <f>SUM(B16:B21)</f>
        <v>24</v>
      </c>
      <c r="C22" s="145">
        <f t="shared" ref="C22:G22" si="2">SUM(C16:C21)</f>
        <v>660</v>
      </c>
      <c r="D22" s="145">
        <f t="shared" si="2"/>
        <v>535</v>
      </c>
      <c r="E22" s="145">
        <f t="shared" si="2"/>
        <v>1195</v>
      </c>
      <c r="F22" s="145">
        <f t="shared" si="2"/>
        <v>69</v>
      </c>
      <c r="G22" s="145">
        <f t="shared" si="2"/>
        <v>0</v>
      </c>
    </row>
    <row r="23" spans="1:12" s="136" customFormat="1" ht="15" thickBot="1">
      <c r="A23" s="143" t="s">
        <v>20</v>
      </c>
      <c r="B23" s="143">
        <f>B15+B22</f>
        <v>46</v>
      </c>
      <c r="C23" s="143">
        <f t="shared" ref="C23:G23" si="3">C15+C22</f>
        <v>1108</v>
      </c>
      <c r="D23" s="143">
        <f t="shared" si="3"/>
        <v>1044</v>
      </c>
      <c r="E23" s="143">
        <f t="shared" si="3"/>
        <v>2152</v>
      </c>
      <c r="F23" s="143">
        <f t="shared" si="3"/>
        <v>126</v>
      </c>
      <c r="G23" s="143">
        <f t="shared" si="3"/>
        <v>0</v>
      </c>
    </row>
    <row r="24" spans="1:12">
      <c r="A24" s="81"/>
      <c r="B24" s="112"/>
      <c r="C24" s="80"/>
      <c r="D24" s="80"/>
      <c r="E24" s="80"/>
      <c r="F24" s="80"/>
      <c r="G24" s="80"/>
    </row>
    <row r="25" spans="1:12">
      <c r="A25" s="81" t="s">
        <v>29</v>
      </c>
      <c r="C25" s="80"/>
      <c r="D25" s="80"/>
      <c r="E25" s="134" t="s">
        <v>32</v>
      </c>
      <c r="G25" s="80"/>
    </row>
    <row r="26" spans="1:12">
      <c r="A26" s="81"/>
      <c r="C26" s="80"/>
      <c r="D26" s="80"/>
      <c r="E26" s="112"/>
      <c r="G26" s="80"/>
    </row>
    <row r="27" spans="1:12">
      <c r="A27" s="81"/>
      <c r="C27" s="80"/>
      <c r="D27" s="80"/>
      <c r="E27" s="112"/>
      <c r="G27" s="80"/>
    </row>
    <row r="28" spans="1:12">
      <c r="A28" s="81"/>
      <c r="C28" s="80"/>
      <c r="D28" s="80"/>
      <c r="E28" s="112"/>
      <c r="G28" s="80"/>
    </row>
    <row r="29" spans="1:12">
      <c r="A29" s="102" t="s">
        <v>30</v>
      </c>
      <c r="C29" s="104"/>
      <c r="D29" s="104"/>
      <c r="E29" s="105" t="s">
        <v>165</v>
      </c>
      <c r="G29" s="104"/>
    </row>
    <row r="30" spans="1:12">
      <c r="A30" s="137" t="s">
        <v>31</v>
      </c>
      <c r="C30" s="138"/>
      <c r="D30" s="138"/>
      <c r="E30" s="139" t="s">
        <v>167</v>
      </c>
      <c r="G30" s="138"/>
    </row>
    <row r="31" spans="1:12">
      <c r="A31" s="137"/>
      <c r="C31" s="138"/>
      <c r="D31" s="138"/>
      <c r="E31" s="139" t="s">
        <v>166</v>
      </c>
      <c r="G31" s="138"/>
    </row>
    <row r="33" spans="1:5">
      <c r="A33" s="81"/>
      <c r="E33" s="134" t="s">
        <v>161</v>
      </c>
    </row>
    <row r="34" spans="1:5">
      <c r="A34" s="81"/>
      <c r="E34" s="112"/>
    </row>
    <row r="35" spans="1:5">
      <c r="A35" s="81"/>
      <c r="E35" s="112"/>
    </row>
    <row r="36" spans="1:5">
      <c r="A36" s="81"/>
      <c r="E36" s="112"/>
    </row>
    <row r="37" spans="1:5">
      <c r="A37" s="102"/>
      <c r="E37" s="105" t="s">
        <v>162</v>
      </c>
    </row>
    <row r="38" spans="1:5">
      <c r="A38" s="137"/>
      <c r="E38" s="139" t="s">
        <v>163</v>
      </c>
    </row>
    <row r="42" spans="1:5">
      <c r="A42" s="135" t="s">
        <v>168</v>
      </c>
    </row>
  </sheetData>
  <mergeCells count="7">
    <mergeCell ref="A3:G3"/>
    <mergeCell ref="A4:G4"/>
    <mergeCell ref="A5:G5"/>
    <mergeCell ref="A7:A8"/>
    <mergeCell ref="B7:B8"/>
    <mergeCell ref="C7:E7"/>
    <mergeCell ref="F7:G7"/>
  </mergeCells>
  <pageMargins left="0.64" right="0.7" top="1.98" bottom="0.75" header="0.3" footer="0.3"/>
  <pageSetup paperSize="9" scale="83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14998-B226-40DD-854B-F8F83584C6B1}">
  <sheetPr>
    <pageSetUpPr fitToPage="1"/>
  </sheetPr>
  <dimension ref="A10:K25"/>
  <sheetViews>
    <sheetView workbookViewId="0">
      <selection activeCell="I23" sqref="I23"/>
    </sheetView>
  </sheetViews>
  <sheetFormatPr defaultColWidth="8.85546875" defaultRowHeight="15"/>
  <cols>
    <col min="1" max="1" width="22.42578125" style="4" customWidth="1"/>
    <col min="2" max="2" width="18.85546875" style="2" customWidth="1"/>
    <col min="3" max="3" width="32" style="1" customWidth="1"/>
    <col min="4" max="4" width="35.7109375" style="1" customWidth="1"/>
    <col min="5" max="5" width="13.5703125" style="3" customWidth="1"/>
    <col min="6" max="6" width="9" style="1" customWidth="1"/>
    <col min="7" max="7" width="8.42578125" style="1" customWidth="1"/>
    <col min="8" max="8" width="9.7109375" style="1" customWidth="1"/>
    <col min="9" max="9" width="15.140625" style="1" customWidth="1"/>
    <col min="10" max="10" width="12.28515625" style="1" customWidth="1"/>
    <col min="11" max="11" width="11.28515625" style="1" customWidth="1"/>
    <col min="12" max="16384" width="8.85546875" style="4"/>
  </cols>
  <sheetData>
    <row r="10" spans="1:11" ht="18.75">
      <c r="A10" s="159" t="s">
        <v>35</v>
      </c>
      <c r="B10" s="159"/>
      <c r="C10" s="159"/>
      <c r="D10" s="159"/>
      <c r="E10" s="159"/>
      <c r="F10" s="159"/>
      <c r="G10" s="159"/>
      <c r="H10" s="159"/>
      <c r="I10" s="159"/>
      <c r="J10" s="159"/>
      <c r="K10" s="159"/>
    </row>
    <row r="11" spans="1:11">
      <c r="A11" s="160" t="s">
        <v>91</v>
      </c>
      <c r="B11" s="161"/>
      <c r="C11" s="161"/>
      <c r="D11" s="161"/>
      <c r="E11" s="161"/>
      <c r="F11" s="161"/>
      <c r="G11" s="161"/>
      <c r="H11" s="161"/>
      <c r="I11" s="161"/>
      <c r="J11" s="161"/>
      <c r="K11" s="161"/>
    </row>
    <row r="13" spans="1:11" ht="57.6" customHeight="1">
      <c r="A13" s="168" t="s">
        <v>37</v>
      </c>
      <c r="B13" s="168" t="s">
        <v>23</v>
      </c>
      <c r="C13" s="168" t="s">
        <v>24</v>
      </c>
      <c r="D13" s="170" t="s">
        <v>0</v>
      </c>
      <c r="E13" s="162" t="s">
        <v>14</v>
      </c>
      <c r="F13" s="163" t="s">
        <v>15</v>
      </c>
      <c r="G13" s="163"/>
      <c r="H13" s="163"/>
      <c r="I13" s="164" t="s">
        <v>17</v>
      </c>
      <c r="J13" s="164"/>
      <c r="K13" s="165"/>
    </row>
    <row r="14" spans="1:11" ht="45">
      <c r="A14" s="169"/>
      <c r="B14" s="169"/>
      <c r="C14" s="169"/>
      <c r="D14" s="171"/>
      <c r="E14" s="162"/>
      <c r="F14" s="8" t="s">
        <v>16</v>
      </c>
      <c r="G14" s="8" t="s">
        <v>13</v>
      </c>
      <c r="H14" s="9" t="s">
        <v>20</v>
      </c>
      <c r="I14" s="12" t="s">
        <v>18</v>
      </c>
      <c r="J14" s="12" t="s">
        <v>19</v>
      </c>
      <c r="K14" s="17" t="s">
        <v>20</v>
      </c>
    </row>
    <row r="15" spans="1:11" ht="30">
      <c r="A15" s="172" t="s">
        <v>94</v>
      </c>
      <c r="B15" s="174">
        <v>45688</v>
      </c>
      <c r="C15" s="176" t="s">
        <v>92</v>
      </c>
      <c r="D15" s="78" t="s">
        <v>2</v>
      </c>
      <c r="E15" s="154">
        <v>1</v>
      </c>
      <c r="F15" s="10">
        <f>7+6</f>
        <v>13</v>
      </c>
      <c r="G15" s="10">
        <f>3+4</f>
        <v>7</v>
      </c>
      <c r="H15" s="11">
        <f>F15+G15</f>
        <v>20</v>
      </c>
      <c r="I15" s="13">
        <v>1</v>
      </c>
      <c r="J15" s="13"/>
      <c r="K15" s="18">
        <f>I15+J15</f>
        <v>1</v>
      </c>
    </row>
    <row r="16" spans="1:11">
      <c r="A16" s="173"/>
      <c r="B16" s="175"/>
      <c r="C16" s="177"/>
      <c r="D16" s="115" t="s">
        <v>3</v>
      </c>
      <c r="E16" s="155"/>
      <c r="F16" s="10">
        <f>5+7</f>
        <v>12</v>
      </c>
      <c r="G16" s="10">
        <f>5+3+5</f>
        <v>13</v>
      </c>
      <c r="H16" s="11">
        <f>F16+G16</f>
        <v>25</v>
      </c>
      <c r="I16" s="13">
        <v>1</v>
      </c>
      <c r="J16" s="13"/>
      <c r="K16" s="18">
        <f>I16+J16</f>
        <v>1</v>
      </c>
    </row>
    <row r="17" spans="1:11" s="15" customFormat="1">
      <c r="A17" s="156" t="s">
        <v>26</v>
      </c>
      <c r="B17" s="157"/>
      <c r="C17" s="157"/>
      <c r="D17" s="158"/>
      <c r="E17" s="19">
        <f>SUM(E15:E16)</f>
        <v>1</v>
      </c>
      <c r="F17" s="11">
        <f t="shared" ref="F17:K17" si="0">SUM(F15:F16)</f>
        <v>25</v>
      </c>
      <c r="G17" s="11">
        <f t="shared" si="0"/>
        <v>20</v>
      </c>
      <c r="H17" s="11">
        <f>SUM(H15:H16)</f>
        <v>45</v>
      </c>
      <c r="I17" s="14">
        <f t="shared" si="0"/>
        <v>2</v>
      </c>
      <c r="J17" s="14">
        <f t="shared" si="0"/>
        <v>0</v>
      </c>
      <c r="K17" s="18">
        <f t="shared" si="0"/>
        <v>2</v>
      </c>
    </row>
    <row r="18" spans="1:11" s="7" customFormat="1" ht="15.75" thickBot="1">
      <c r="A18" s="166" t="s">
        <v>25</v>
      </c>
      <c r="B18" s="167"/>
      <c r="C18" s="167"/>
      <c r="D18" s="167"/>
      <c r="E18" s="21">
        <f t="shared" ref="E18:K18" si="1">E17</f>
        <v>1</v>
      </c>
      <c r="F18" s="22">
        <f t="shared" si="1"/>
        <v>25</v>
      </c>
      <c r="G18" s="22">
        <f t="shared" si="1"/>
        <v>20</v>
      </c>
      <c r="H18" s="22">
        <f t="shared" si="1"/>
        <v>45</v>
      </c>
      <c r="I18" s="23">
        <f t="shared" si="1"/>
        <v>2</v>
      </c>
      <c r="J18" s="23">
        <f t="shared" si="1"/>
        <v>0</v>
      </c>
      <c r="K18" s="24">
        <f t="shared" si="1"/>
        <v>2</v>
      </c>
    </row>
    <row r="20" spans="1:11">
      <c r="A20" s="26" t="s">
        <v>29</v>
      </c>
      <c r="E20" s="29" t="s">
        <v>32</v>
      </c>
    </row>
    <row r="24" spans="1:11" s="25" customFormat="1">
      <c r="A24" s="27" t="s">
        <v>30</v>
      </c>
      <c r="B24" s="30"/>
      <c r="C24" s="31"/>
      <c r="D24" s="31"/>
      <c r="E24" s="32" t="s">
        <v>33</v>
      </c>
      <c r="F24" s="31"/>
      <c r="G24" s="31"/>
      <c r="H24" s="31"/>
      <c r="I24" s="31"/>
      <c r="J24" s="31"/>
      <c r="K24" s="31"/>
    </row>
    <row r="25" spans="1:11" s="36" customFormat="1" ht="12.75">
      <c r="A25" s="28" t="s">
        <v>31</v>
      </c>
      <c r="B25" s="33"/>
      <c r="C25" s="34"/>
      <c r="D25" s="34"/>
      <c r="E25" s="35" t="s">
        <v>34</v>
      </c>
      <c r="F25" s="34"/>
      <c r="G25" s="34"/>
      <c r="H25" s="34"/>
      <c r="I25" s="34"/>
      <c r="J25" s="34"/>
      <c r="K25" s="34"/>
    </row>
  </sheetData>
  <mergeCells count="15">
    <mergeCell ref="A18:D18"/>
    <mergeCell ref="A13:A14"/>
    <mergeCell ref="B13:B14"/>
    <mergeCell ref="C13:C14"/>
    <mergeCell ref="D13:D14"/>
    <mergeCell ref="A15:A16"/>
    <mergeCell ref="B15:B16"/>
    <mergeCell ref="C15:C16"/>
    <mergeCell ref="E15:E16"/>
    <mergeCell ref="A17:D17"/>
    <mergeCell ref="A10:K10"/>
    <mergeCell ref="A11:K11"/>
    <mergeCell ref="E13:E14"/>
    <mergeCell ref="F13:H13"/>
    <mergeCell ref="I13:K13"/>
  </mergeCells>
  <pageMargins left="0.7" right="0.7" top="0.75" bottom="0.75" header="0.3" footer="0.3"/>
  <pageSetup paperSize="9" scale="7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365C1-6343-4EC9-8A75-873F275E5C22}">
  <sheetPr>
    <pageSetUpPr fitToPage="1"/>
  </sheetPr>
  <dimension ref="A10:K26"/>
  <sheetViews>
    <sheetView topLeftCell="A7" workbookViewId="0">
      <selection activeCell="J26" sqref="J26"/>
    </sheetView>
  </sheetViews>
  <sheetFormatPr defaultColWidth="8.85546875" defaultRowHeight="15"/>
  <cols>
    <col min="1" max="1" width="22.42578125" style="4" customWidth="1"/>
    <col min="2" max="2" width="18.85546875" style="2" customWidth="1"/>
    <col min="3" max="3" width="32" style="1" customWidth="1"/>
    <col min="4" max="4" width="35.7109375" style="1" customWidth="1"/>
    <col min="5" max="5" width="13.5703125" style="3" customWidth="1"/>
    <col min="6" max="6" width="9" style="1" customWidth="1"/>
    <col min="7" max="7" width="8.42578125" style="1" customWidth="1"/>
    <col min="8" max="8" width="9.7109375" style="1" customWidth="1"/>
    <col min="9" max="9" width="15.140625" style="1" customWidth="1"/>
    <col min="10" max="10" width="12.28515625" style="1" customWidth="1"/>
    <col min="11" max="11" width="11.28515625" style="1" customWidth="1"/>
    <col min="12" max="16384" width="8.85546875" style="4"/>
  </cols>
  <sheetData>
    <row r="10" spans="1:11" ht="18.75">
      <c r="A10" s="159" t="s">
        <v>35</v>
      </c>
      <c r="B10" s="159"/>
      <c r="C10" s="159"/>
      <c r="D10" s="159"/>
      <c r="E10" s="159"/>
      <c r="F10" s="159"/>
      <c r="G10" s="159"/>
      <c r="H10" s="159"/>
      <c r="I10" s="159"/>
      <c r="J10" s="159"/>
      <c r="K10" s="159"/>
    </row>
    <row r="11" spans="1:11">
      <c r="A11" s="160" t="s">
        <v>93</v>
      </c>
      <c r="B11" s="161"/>
      <c r="C11" s="161"/>
      <c r="D11" s="161"/>
      <c r="E11" s="161"/>
      <c r="F11" s="161"/>
      <c r="G11" s="161"/>
      <c r="H11" s="161"/>
      <c r="I11" s="161"/>
      <c r="J11" s="161"/>
      <c r="K11" s="161"/>
    </row>
    <row r="13" spans="1:11" ht="57.6" customHeight="1">
      <c r="A13" s="168" t="s">
        <v>37</v>
      </c>
      <c r="B13" s="168" t="s">
        <v>23</v>
      </c>
      <c r="C13" s="168" t="s">
        <v>24</v>
      </c>
      <c r="D13" s="170" t="s">
        <v>0</v>
      </c>
      <c r="E13" s="162" t="s">
        <v>14</v>
      </c>
      <c r="F13" s="163" t="s">
        <v>15</v>
      </c>
      <c r="G13" s="163"/>
      <c r="H13" s="163"/>
      <c r="I13" s="164" t="s">
        <v>17</v>
      </c>
      <c r="J13" s="164"/>
      <c r="K13" s="165"/>
    </row>
    <row r="14" spans="1:11" ht="45">
      <c r="A14" s="169"/>
      <c r="B14" s="169"/>
      <c r="C14" s="169"/>
      <c r="D14" s="171"/>
      <c r="E14" s="162"/>
      <c r="F14" s="8" t="s">
        <v>16</v>
      </c>
      <c r="G14" s="8" t="s">
        <v>13</v>
      </c>
      <c r="H14" s="9" t="s">
        <v>20</v>
      </c>
      <c r="I14" s="12" t="s">
        <v>18</v>
      </c>
      <c r="J14" s="12" t="s">
        <v>19</v>
      </c>
      <c r="K14" s="17" t="s">
        <v>20</v>
      </c>
    </row>
    <row r="15" spans="1:11" ht="30">
      <c r="A15" s="178" t="s">
        <v>21</v>
      </c>
      <c r="B15" s="174">
        <v>45708</v>
      </c>
      <c r="C15" s="176" t="s">
        <v>5</v>
      </c>
      <c r="D15" s="78" t="s">
        <v>4</v>
      </c>
      <c r="E15" s="154">
        <v>1</v>
      </c>
      <c r="F15" s="10">
        <v>5</v>
      </c>
      <c r="G15" s="10">
        <v>3</v>
      </c>
      <c r="H15" s="11">
        <f>F15+G15</f>
        <v>8</v>
      </c>
      <c r="I15" s="13">
        <v>1</v>
      </c>
      <c r="J15" s="13"/>
      <c r="K15" s="18">
        <f>I15+J15</f>
        <v>1</v>
      </c>
    </row>
    <row r="16" spans="1:11">
      <c r="A16" s="179"/>
      <c r="B16" s="180"/>
      <c r="C16" s="181"/>
      <c r="D16" s="78" t="s">
        <v>6</v>
      </c>
      <c r="E16" s="182"/>
      <c r="F16" s="10">
        <v>2</v>
      </c>
      <c r="G16" s="10">
        <v>1</v>
      </c>
      <c r="H16" s="11">
        <f>F16+G16</f>
        <v>3</v>
      </c>
      <c r="I16" s="13">
        <v>1</v>
      </c>
      <c r="J16" s="13"/>
      <c r="K16" s="18">
        <f t="shared" ref="K16:K17" si="0">I16+J16</f>
        <v>1</v>
      </c>
    </row>
    <row r="17" spans="1:11" ht="30">
      <c r="A17" s="173"/>
      <c r="B17" s="175"/>
      <c r="C17" s="177"/>
      <c r="D17" s="78" t="s">
        <v>2</v>
      </c>
      <c r="E17" s="155"/>
      <c r="F17" s="10">
        <v>9</v>
      </c>
      <c r="G17" s="10">
        <v>2</v>
      </c>
      <c r="H17" s="11">
        <f>F17+G17</f>
        <v>11</v>
      </c>
      <c r="I17" s="13">
        <v>1</v>
      </c>
      <c r="J17" s="13"/>
      <c r="K17" s="18">
        <f t="shared" si="0"/>
        <v>1</v>
      </c>
    </row>
    <row r="18" spans="1:11" s="15" customFormat="1">
      <c r="A18" s="156" t="s">
        <v>26</v>
      </c>
      <c r="B18" s="157"/>
      <c r="C18" s="157"/>
      <c r="D18" s="158"/>
      <c r="E18" s="19">
        <f>SUM(E15:E17)</f>
        <v>1</v>
      </c>
      <c r="F18" s="11">
        <f t="shared" ref="F18:K18" si="1">SUM(F15:F17)</f>
        <v>16</v>
      </c>
      <c r="G18" s="11">
        <f t="shared" si="1"/>
        <v>6</v>
      </c>
      <c r="H18" s="11">
        <f>SUM(H15:H17)</f>
        <v>22</v>
      </c>
      <c r="I18" s="14">
        <f t="shared" si="1"/>
        <v>3</v>
      </c>
      <c r="J18" s="14">
        <f t="shared" si="1"/>
        <v>0</v>
      </c>
      <c r="K18" s="18">
        <f t="shared" si="1"/>
        <v>3</v>
      </c>
    </row>
    <row r="19" spans="1:11" s="7" customFormat="1" ht="15.75" thickBot="1">
      <c r="A19" s="166" t="s">
        <v>25</v>
      </c>
      <c r="B19" s="167"/>
      <c r="C19" s="167"/>
      <c r="D19" s="167"/>
      <c r="E19" s="21">
        <f t="shared" ref="E19:K19" si="2">E18</f>
        <v>1</v>
      </c>
      <c r="F19" s="22">
        <f t="shared" si="2"/>
        <v>16</v>
      </c>
      <c r="G19" s="22">
        <f t="shared" si="2"/>
        <v>6</v>
      </c>
      <c r="H19" s="22">
        <f t="shared" si="2"/>
        <v>22</v>
      </c>
      <c r="I19" s="23">
        <f t="shared" si="2"/>
        <v>3</v>
      </c>
      <c r="J19" s="23">
        <f t="shared" si="2"/>
        <v>0</v>
      </c>
      <c r="K19" s="24">
        <f t="shared" si="2"/>
        <v>3</v>
      </c>
    </row>
    <row r="21" spans="1:11">
      <c r="A21" s="26" t="s">
        <v>29</v>
      </c>
      <c r="E21" s="29" t="s">
        <v>32</v>
      </c>
    </row>
    <row r="25" spans="1:11" s="25" customFormat="1">
      <c r="A25" s="27" t="s">
        <v>30</v>
      </c>
      <c r="B25" s="30"/>
      <c r="C25" s="31"/>
      <c r="D25" s="31"/>
      <c r="E25" s="32" t="s">
        <v>33</v>
      </c>
      <c r="F25" s="31"/>
      <c r="G25" s="31"/>
      <c r="H25" s="31"/>
      <c r="I25" s="31"/>
      <c r="J25" s="31"/>
      <c r="K25" s="31"/>
    </row>
    <row r="26" spans="1:11" s="36" customFormat="1" ht="12.75">
      <c r="A26" s="28" t="s">
        <v>31</v>
      </c>
      <c r="B26" s="33"/>
      <c r="C26" s="34"/>
      <c r="D26" s="34"/>
      <c r="E26" s="35" t="s">
        <v>34</v>
      </c>
      <c r="F26" s="34"/>
      <c r="G26" s="34"/>
      <c r="H26" s="34"/>
      <c r="I26" s="34"/>
      <c r="J26" s="34"/>
      <c r="K26" s="34"/>
    </row>
  </sheetData>
  <mergeCells count="15">
    <mergeCell ref="A18:D18"/>
    <mergeCell ref="A19:D19"/>
    <mergeCell ref="E13:E14"/>
    <mergeCell ref="F13:H13"/>
    <mergeCell ref="I13:K13"/>
    <mergeCell ref="A15:A17"/>
    <mergeCell ref="B15:B17"/>
    <mergeCell ref="C15:C17"/>
    <mergeCell ref="E15:E17"/>
    <mergeCell ref="A10:K10"/>
    <mergeCell ref="A11:K11"/>
    <mergeCell ref="A13:A14"/>
    <mergeCell ref="B13:B14"/>
    <mergeCell ref="C13:C14"/>
    <mergeCell ref="D13:D14"/>
  </mergeCells>
  <pageMargins left="0.7" right="0.7" top="0.75" bottom="0.75" header="0.3" footer="0.3"/>
  <pageSetup paperSize="9" scale="7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0:K27"/>
  <sheetViews>
    <sheetView topLeftCell="A10" workbookViewId="0">
      <selection activeCell="D26" sqref="D26"/>
    </sheetView>
  </sheetViews>
  <sheetFormatPr defaultColWidth="8.85546875" defaultRowHeight="15"/>
  <cols>
    <col min="1" max="1" width="22.42578125" style="4" customWidth="1"/>
    <col min="2" max="2" width="18.85546875" style="2" customWidth="1"/>
    <col min="3" max="3" width="32" style="1" customWidth="1"/>
    <col min="4" max="4" width="35.7109375" style="1" customWidth="1"/>
    <col min="5" max="5" width="13.5703125" style="3" customWidth="1"/>
    <col min="6" max="6" width="9" style="1" customWidth="1"/>
    <col min="7" max="7" width="8.42578125" style="1" customWidth="1"/>
    <col min="8" max="8" width="9.7109375" style="1" customWidth="1"/>
    <col min="9" max="9" width="15.140625" style="1" customWidth="1"/>
    <col min="10" max="10" width="12.28515625" style="1" customWidth="1"/>
    <col min="11" max="11" width="11.28515625" style="1" customWidth="1"/>
    <col min="12" max="16384" width="8.85546875" style="4"/>
  </cols>
  <sheetData>
    <row r="10" spans="1:11" ht="18.75">
      <c r="A10" s="159" t="s">
        <v>35</v>
      </c>
      <c r="B10" s="159"/>
      <c r="C10" s="159"/>
      <c r="D10" s="159"/>
      <c r="E10" s="159"/>
      <c r="F10" s="159"/>
      <c r="G10" s="159"/>
      <c r="H10" s="159"/>
      <c r="I10" s="159"/>
      <c r="J10" s="159"/>
      <c r="K10" s="159"/>
    </row>
    <row r="11" spans="1:11">
      <c r="A11" s="161" t="s">
        <v>36</v>
      </c>
      <c r="B11" s="161"/>
      <c r="C11" s="161"/>
      <c r="D11" s="161"/>
      <c r="E11" s="161"/>
      <c r="F11" s="161"/>
      <c r="G11" s="161"/>
      <c r="H11" s="161"/>
      <c r="I11" s="161"/>
      <c r="J11" s="161"/>
      <c r="K11" s="161"/>
    </row>
    <row r="12" spans="1:11" ht="15.75" thickBot="1"/>
    <row r="13" spans="1:11" ht="57.6" customHeight="1">
      <c r="A13" s="193" t="s">
        <v>37</v>
      </c>
      <c r="B13" s="192" t="s">
        <v>23</v>
      </c>
      <c r="C13" s="192" t="s">
        <v>24</v>
      </c>
      <c r="D13" s="186" t="s">
        <v>0</v>
      </c>
      <c r="E13" s="191" t="s">
        <v>14</v>
      </c>
      <c r="F13" s="185" t="s">
        <v>15</v>
      </c>
      <c r="G13" s="185"/>
      <c r="H13" s="185"/>
      <c r="I13" s="187" t="s">
        <v>17</v>
      </c>
      <c r="J13" s="187"/>
      <c r="K13" s="188"/>
    </row>
    <row r="14" spans="1:11" ht="45">
      <c r="A14" s="194"/>
      <c r="B14" s="169"/>
      <c r="C14" s="169"/>
      <c r="D14" s="171"/>
      <c r="E14" s="162"/>
      <c r="F14" s="8" t="s">
        <v>16</v>
      </c>
      <c r="G14" s="8" t="s">
        <v>13</v>
      </c>
      <c r="H14" s="9" t="s">
        <v>20</v>
      </c>
      <c r="I14" s="12" t="s">
        <v>18</v>
      </c>
      <c r="J14" s="12" t="s">
        <v>19</v>
      </c>
      <c r="K14" s="17" t="s">
        <v>20</v>
      </c>
    </row>
    <row r="15" spans="1:11" ht="45">
      <c r="A15" s="189" t="s">
        <v>21</v>
      </c>
      <c r="B15" s="174" t="s">
        <v>7</v>
      </c>
      <c r="C15" s="176" t="s">
        <v>8</v>
      </c>
      <c r="D15" s="16" t="s">
        <v>27</v>
      </c>
      <c r="E15" s="154">
        <v>1</v>
      </c>
      <c r="F15" s="10">
        <v>9</v>
      </c>
      <c r="G15" s="10">
        <v>8</v>
      </c>
      <c r="H15" s="11">
        <f>F15+G15</f>
        <v>17</v>
      </c>
      <c r="I15" s="13">
        <v>1</v>
      </c>
      <c r="J15" s="13"/>
      <c r="K15" s="18">
        <f>I15+J15</f>
        <v>1</v>
      </c>
    </row>
    <row r="16" spans="1:11" ht="30">
      <c r="A16" s="190"/>
      <c r="B16" s="175"/>
      <c r="C16" s="177"/>
      <c r="D16" s="16" t="s">
        <v>9</v>
      </c>
      <c r="E16" s="155"/>
      <c r="F16" s="10">
        <v>9</v>
      </c>
      <c r="G16" s="10">
        <v>8</v>
      </c>
      <c r="H16" s="11">
        <f>F16+G16</f>
        <v>17</v>
      </c>
      <c r="I16" s="13">
        <v>1</v>
      </c>
      <c r="J16" s="13"/>
      <c r="K16" s="18">
        <f>I16+J16</f>
        <v>1</v>
      </c>
    </row>
    <row r="17" spans="1:11" s="15" customFormat="1">
      <c r="A17" s="195" t="s">
        <v>26</v>
      </c>
      <c r="B17" s="157"/>
      <c r="C17" s="157"/>
      <c r="D17" s="158"/>
      <c r="E17" s="19">
        <f>SUM(E15:E16)</f>
        <v>1</v>
      </c>
      <c r="F17" s="11">
        <f t="shared" ref="F17:I17" si="0">SUM(F15:F16)</f>
        <v>18</v>
      </c>
      <c r="G17" s="11">
        <f t="shared" ref="G17" si="1">SUM(G15:G16)</f>
        <v>16</v>
      </c>
      <c r="H17" s="11">
        <f>SUM(H15:H16)</f>
        <v>34</v>
      </c>
      <c r="I17" s="14">
        <f t="shared" si="0"/>
        <v>2</v>
      </c>
      <c r="J17" s="14">
        <f t="shared" ref="J17" si="2">SUM(J15:J16)</f>
        <v>0</v>
      </c>
      <c r="K17" s="18">
        <f t="shared" ref="K17" si="3">SUM(K15:K16)</f>
        <v>2</v>
      </c>
    </row>
    <row r="18" spans="1:11" ht="45">
      <c r="A18" s="114" t="s">
        <v>22</v>
      </c>
      <c r="B18" s="5" t="s">
        <v>10</v>
      </c>
      <c r="C18" s="6" t="s">
        <v>11</v>
      </c>
      <c r="D18" s="16" t="s">
        <v>9</v>
      </c>
      <c r="E18" s="20">
        <v>1</v>
      </c>
      <c r="F18" s="10">
        <v>2</v>
      </c>
      <c r="G18" s="10">
        <v>1</v>
      </c>
      <c r="H18" s="11">
        <f>F18+G18</f>
        <v>3</v>
      </c>
      <c r="I18" s="13">
        <v>1</v>
      </c>
      <c r="J18" s="13"/>
      <c r="K18" s="18">
        <f>I18+J18</f>
        <v>1</v>
      </c>
    </row>
    <row r="19" spans="1:11" s="15" customFormat="1">
      <c r="A19" s="195" t="s">
        <v>26</v>
      </c>
      <c r="B19" s="157"/>
      <c r="C19" s="157"/>
      <c r="D19" s="158"/>
      <c r="E19" s="19">
        <f>E18</f>
        <v>1</v>
      </c>
      <c r="F19" s="11">
        <f>F18</f>
        <v>2</v>
      </c>
      <c r="G19" s="11">
        <f t="shared" ref="G19:H19" si="4">G18</f>
        <v>1</v>
      </c>
      <c r="H19" s="11">
        <f t="shared" si="4"/>
        <v>3</v>
      </c>
      <c r="I19" s="14">
        <f>I18</f>
        <v>1</v>
      </c>
      <c r="J19" s="14">
        <f t="shared" ref="J19:K19" si="5">J18</f>
        <v>0</v>
      </c>
      <c r="K19" s="18">
        <f t="shared" si="5"/>
        <v>1</v>
      </c>
    </row>
    <row r="20" spans="1:11" s="7" customFormat="1" ht="15.75" thickBot="1">
      <c r="A20" s="183" t="s">
        <v>25</v>
      </c>
      <c r="B20" s="184"/>
      <c r="C20" s="184"/>
      <c r="D20" s="184"/>
      <c r="E20" s="21">
        <f>E17+E19</f>
        <v>2</v>
      </c>
      <c r="F20" s="22">
        <f t="shared" ref="F20:K20" si="6">F17+F19</f>
        <v>20</v>
      </c>
      <c r="G20" s="22">
        <f t="shared" si="6"/>
        <v>17</v>
      </c>
      <c r="H20" s="22">
        <f t="shared" si="6"/>
        <v>37</v>
      </c>
      <c r="I20" s="23">
        <f t="shared" si="6"/>
        <v>3</v>
      </c>
      <c r="J20" s="23">
        <f t="shared" si="6"/>
        <v>0</v>
      </c>
      <c r="K20" s="24">
        <f t="shared" si="6"/>
        <v>3</v>
      </c>
    </row>
    <row r="22" spans="1:11">
      <c r="A22" s="26" t="s">
        <v>29</v>
      </c>
      <c r="E22" s="29" t="s">
        <v>32</v>
      </c>
    </row>
    <row r="26" spans="1:11" s="25" customFormat="1">
      <c r="A26" s="27" t="s">
        <v>30</v>
      </c>
      <c r="B26" s="30"/>
      <c r="C26" s="31"/>
      <c r="D26" s="31"/>
      <c r="E26" s="32" t="s">
        <v>33</v>
      </c>
      <c r="F26" s="31"/>
      <c r="G26" s="31"/>
      <c r="H26" s="31"/>
      <c r="I26" s="31"/>
      <c r="J26" s="31"/>
      <c r="K26" s="31"/>
    </row>
    <row r="27" spans="1:11" s="36" customFormat="1" ht="12.75">
      <c r="A27" s="28" t="s">
        <v>31</v>
      </c>
      <c r="B27" s="33"/>
      <c r="C27" s="34"/>
      <c r="D27" s="34"/>
      <c r="E27" s="35" t="s">
        <v>34</v>
      </c>
      <c r="F27" s="34"/>
      <c r="G27" s="34"/>
      <c r="H27" s="34"/>
      <c r="I27" s="34"/>
      <c r="J27" s="34"/>
      <c r="K27" s="34"/>
    </row>
  </sheetData>
  <mergeCells count="16">
    <mergeCell ref="A10:K10"/>
    <mergeCell ref="A11:K11"/>
    <mergeCell ref="C15:C16"/>
    <mergeCell ref="A20:D20"/>
    <mergeCell ref="E15:E16"/>
    <mergeCell ref="F13:H13"/>
    <mergeCell ref="D13:D14"/>
    <mergeCell ref="I13:K13"/>
    <mergeCell ref="A15:A16"/>
    <mergeCell ref="B15:B16"/>
    <mergeCell ref="E13:E14"/>
    <mergeCell ref="C13:C14"/>
    <mergeCell ref="B13:B14"/>
    <mergeCell ref="A13:A14"/>
    <mergeCell ref="A17:D17"/>
    <mergeCell ref="A19:D19"/>
  </mergeCells>
  <phoneticPr fontId="26" type="noConversion"/>
  <pageMargins left="0.7" right="0.7" top="0.75" bottom="0.75" header="0.3" footer="0.3"/>
  <pageSetup paperSize="9" scale="7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7AE3-BF06-44C9-A7AC-17A673A1096F}">
  <sheetPr>
    <pageSetUpPr fitToPage="1"/>
  </sheetPr>
  <dimension ref="A10:K31"/>
  <sheetViews>
    <sheetView topLeftCell="A9" zoomScale="99" zoomScaleNormal="99" workbookViewId="0">
      <selection activeCell="C27" sqref="C27"/>
    </sheetView>
  </sheetViews>
  <sheetFormatPr defaultColWidth="8.85546875" defaultRowHeight="15"/>
  <cols>
    <col min="1" max="1" width="24.28515625" style="4" customWidth="1"/>
    <col min="2" max="2" width="14.7109375" style="2" bestFit="1" customWidth="1"/>
    <col min="3" max="3" width="23.28515625" style="1" customWidth="1"/>
    <col min="4" max="4" width="35.7109375" style="1" customWidth="1"/>
    <col min="5" max="5" width="13.5703125" style="3" customWidth="1"/>
    <col min="6" max="6" width="9" style="1" customWidth="1"/>
    <col min="7" max="7" width="8.42578125" style="1" customWidth="1"/>
    <col min="8" max="8" width="9.7109375" style="1" customWidth="1"/>
    <col min="9" max="9" width="15.140625" style="1" customWidth="1"/>
    <col min="10" max="10" width="12.28515625" style="1" customWidth="1"/>
    <col min="11" max="11" width="11.28515625" style="1" customWidth="1"/>
    <col min="12" max="16384" width="8.85546875" style="4"/>
  </cols>
  <sheetData>
    <row r="10" spans="1:11" ht="18.75">
      <c r="A10" s="159" t="s">
        <v>35</v>
      </c>
      <c r="B10" s="159"/>
      <c r="C10" s="159"/>
      <c r="D10" s="159"/>
      <c r="E10" s="159"/>
      <c r="F10" s="159"/>
      <c r="G10" s="159"/>
      <c r="H10" s="159"/>
      <c r="I10" s="159"/>
      <c r="J10" s="159"/>
      <c r="K10" s="159"/>
    </row>
    <row r="11" spans="1:11">
      <c r="A11" s="161" t="s">
        <v>38</v>
      </c>
      <c r="B11" s="161"/>
      <c r="C11" s="161"/>
      <c r="D11" s="161"/>
      <c r="E11" s="161"/>
      <c r="F11" s="161"/>
      <c r="G11" s="161"/>
      <c r="H11" s="161"/>
      <c r="I11" s="161"/>
      <c r="J11" s="161"/>
      <c r="K11" s="161"/>
    </row>
    <row r="12" spans="1:11" ht="15.75" thickBot="1"/>
    <row r="13" spans="1:11" ht="37.15" customHeight="1">
      <c r="A13" s="168" t="s">
        <v>43</v>
      </c>
      <c r="B13" s="168" t="s">
        <v>23</v>
      </c>
      <c r="C13" s="168" t="s">
        <v>24</v>
      </c>
      <c r="D13" s="170" t="s">
        <v>0</v>
      </c>
      <c r="E13" s="203" t="s">
        <v>14</v>
      </c>
      <c r="F13" s="205" t="s">
        <v>15</v>
      </c>
      <c r="G13" s="185"/>
      <c r="H13" s="206"/>
      <c r="I13" s="207" t="s">
        <v>17</v>
      </c>
      <c r="J13" s="187"/>
      <c r="K13" s="188"/>
    </row>
    <row r="14" spans="1:11" ht="45">
      <c r="A14" s="169"/>
      <c r="B14" s="169"/>
      <c r="C14" s="169"/>
      <c r="D14" s="171"/>
      <c r="E14" s="204"/>
      <c r="F14" s="44" t="s">
        <v>16</v>
      </c>
      <c r="G14" s="8" t="s">
        <v>13</v>
      </c>
      <c r="H14" s="45" t="s">
        <v>20</v>
      </c>
      <c r="I14" s="40" t="s">
        <v>18</v>
      </c>
      <c r="J14" s="12" t="s">
        <v>19</v>
      </c>
      <c r="K14" s="17" t="s">
        <v>20</v>
      </c>
    </row>
    <row r="15" spans="1:11" ht="30">
      <c r="A15" s="208" t="s">
        <v>42</v>
      </c>
      <c r="B15" s="174">
        <v>45756</v>
      </c>
      <c r="C15" s="176" t="s">
        <v>41</v>
      </c>
      <c r="D15" s="37" t="s">
        <v>9</v>
      </c>
      <c r="E15" s="197">
        <v>1</v>
      </c>
      <c r="F15" s="46"/>
      <c r="G15" s="10">
        <v>3</v>
      </c>
      <c r="H15" s="47">
        <f>F15+G15</f>
        <v>3</v>
      </c>
      <c r="I15" s="41">
        <v>1</v>
      </c>
      <c r="J15" s="13"/>
      <c r="K15" s="18">
        <f>I15+J15</f>
        <v>1</v>
      </c>
    </row>
    <row r="16" spans="1:11" ht="30">
      <c r="A16" s="200"/>
      <c r="B16" s="180"/>
      <c r="C16" s="181"/>
      <c r="D16" s="50" t="s">
        <v>2</v>
      </c>
      <c r="E16" s="198"/>
      <c r="F16" s="46">
        <v>2</v>
      </c>
      <c r="G16" s="10">
        <v>1</v>
      </c>
      <c r="H16" s="47">
        <f>F16+G16</f>
        <v>3</v>
      </c>
      <c r="I16" s="41">
        <v>1</v>
      </c>
      <c r="J16" s="13"/>
      <c r="K16" s="18">
        <f>I16+J16</f>
        <v>1</v>
      </c>
    </row>
    <row r="17" spans="1:11" s="15" customFormat="1">
      <c r="A17" s="156" t="s">
        <v>26</v>
      </c>
      <c r="B17" s="157"/>
      <c r="C17" s="157"/>
      <c r="D17" s="157"/>
      <c r="E17" s="38">
        <f t="shared" ref="E17" si="0">SUM(E15:E16)</f>
        <v>1</v>
      </c>
      <c r="F17" s="48">
        <f t="shared" ref="F17" si="1">SUM(F15:F16)</f>
        <v>2</v>
      </c>
      <c r="G17" s="11">
        <f t="shared" ref="G17" si="2">SUM(G15:G16)</f>
        <v>4</v>
      </c>
      <c r="H17" s="47">
        <f t="shared" ref="H17" si="3">SUM(H15:H16)</f>
        <v>6</v>
      </c>
      <c r="I17" s="42">
        <f t="shared" ref="I17" si="4">SUM(I15:I16)</f>
        <v>2</v>
      </c>
      <c r="J17" s="14">
        <f t="shared" ref="J17" si="5">SUM(J15:J16)</f>
        <v>0</v>
      </c>
      <c r="K17" s="18">
        <f t="shared" ref="K17" si="6">SUM(K15:K16)</f>
        <v>2</v>
      </c>
    </row>
    <row r="18" spans="1:11" ht="30">
      <c r="A18" s="199" t="s">
        <v>39</v>
      </c>
      <c r="B18" s="174">
        <v>45758</v>
      </c>
      <c r="C18" s="176" t="s">
        <v>40</v>
      </c>
      <c r="D18" s="37" t="s">
        <v>9</v>
      </c>
      <c r="E18" s="197">
        <v>1</v>
      </c>
      <c r="F18" s="46">
        <f>4+1</f>
        <v>5</v>
      </c>
      <c r="G18" s="10">
        <f>6+9+3</f>
        <v>18</v>
      </c>
      <c r="H18" s="47">
        <f>F18+G18</f>
        <v>23</v>
      </c>
      <c r="I18" s="41">
        <v>1</v>
      </c>
      <c r="J18" s="13"/>
      <c r="K18" s="18">
        <f>I18+J18</f>
        <v>1</v>
      </c>
    </row>
    <row r="19" spans="1:11">
      <c r="A19" s="200"/>
      <c r="B19" s="180"/>
      <c r="C19" s="181"/>
      <c r="D19" s="37" t="s">
        <v>6</v>
      </c>
      <c r="E19" s="198"/>
      <c r="F19" s="46">
        <v>4</v>
      </c>
      <c r="G19" s="10">
        <f>8+6+7</f>
        <v>21</v>
      </c>
      <c r="H19" s="47">
        <f>F19+G19</f>
        <v>25</v>
      </c>
      <c r="I19" s="41">
        <v>1</v>
      </c>
      <c r="J19" s="13"/>
      <c r="K19" s="18">
        <f>I19+J19</f>
        <v>1</v>
      </c>
    </row>
    <row r="20" spans="1:11" s="15" customFormat="1">
      <c r="A20" s="156" t="s">
        <v>26</v>
      </c>
      <c r="B20" s="157"/>
      <c r="C20" s="157"/>
      <c r="D20" s="157"/>
      <c r="E20" s="38">
        <f t="shared" ref="E20:K20" si="7">SUM(E18:E19)</f>
        <v>1</v>
      </c>
      <c r="F20" s="48">
        <f t="shared" si="7"/>
        <v>9</v>
      </c>
      <c r="G20" s="11">
        <f t="shared" si="7"/>
        <v>39</v>
      </c>
      <c r="H20" s="47">
        <f t="shared" si="7"/>
        <v>48</v>
      </c>
      <c r="I20" s="42">
        <f t="shared" si="7"/>
        <v>2</v>
      </c>
      <c r="J20" s="14">
        <f t="shared" si="7"/>
        <v>0</v>
      </c>
      <c r="K20" s="18">
        <f t="shared" si="7"/>
        <v>2</v>
      </c>
    </row>
    <row r="21" spans="1:11" ht="30">
      <c r="A21" s="201" t="s">
        <v>28</v>
      </c>
      <c r="B21" s="202">
        <v>45771</v>
      </c>
      <c r="C21" s="196" t="s">
        <v>12</v>
      </c>
      <c r="D21" s="37" t="s">
        <v>9</v>
      </c>
      <c r="E21" s="197">
        <v>1</v>
      </c>
      <c r="F21" s="46">
        <f>4+3+7</f>
        <v>14</v>
      </c>
      <c r="G21" s="10">
        <f>6+7+3+4</f>
        <v>20</v>
      </c>
      <c r="H21" s="47">
        <f>F21+G21</f>
        <v>34</v>
      </c>
      <c r="I21" s="41">
        <v>1</v>
      </c>
      <c r="J21" s="13"/>
      <c r="K21" s="18">
        <f>I21+J21</f>
        <v>1</v>
      </c>
    </row>
    <row r="22" spans="1:11" ht="30">
      <c r="A22" s="201"/>
      <c r="B22" s="202"/>
      <c r="C22" s="196"/>
      <c r="D22" s="50" t="s">
        <v>2</v>
      </c>
      <c r="E22" s="198"/>
      <c r="F22" s="46">
        <v>1</v>
      </c>
      <c r="G22" s="10">
        <v>9</v>
      </c>
      <c r="H22" s="47">
        <f t="shared" ref="H22" si="8">F22+G22</f>
        <v>10</v>
      </c>
      <c r="I22" s="41">
        <v>1</v>
      </c>
      <c r="J22" s="13"/>
      <c r="K22" s="18">
        <f t="shared" ref="K22" si="9">I22+J22</f>
        <v>1</v>
      </c>
    </row>
    <row r="23" spans="1:11" s="15" customFormat="1">
      <c r="A23" s="156" t="s">
        <v>26</v>
      </c>
      <c r="B23" s="157"/>
      <c r="C23" s="157"/>
      <c r="D23" s="157"/>
      <c r="E23" s="38">
        <f>E21</f>
        <v>1</v>
      </c>
      <c r="F23" s="48">
        <f t="shared" ref="F23:K23" si="10">SUM(F21:F22)</f>
        <v>15</v>
      </c>
      <c r="G23" s="11">
        <f t="shared" si="10"/>
        <v>29</v>
      </c>
      <c r="H23" s="47">
        <f t="shared" si="10"/>
        <v>44</v>
      </c>
      <c r="I23" s="42">
        <f t="shared" si="10"/>
        <v>2</v>
      </c>
      <c r="J23" s="14">
        <f t="shared" si="10"/>
        <v>0</v>
      </c>
      <c r="K23" s="18">
        <f t="shared" si="10"/>
        <v>2</v>
      </c>
    </row>
    <row r="24" spans="1:11" s="7" customFormat="1" ht="15.75" thickBot="1">
      <c r="A24" s="166" t="s">
        <v>25</v>
      </c>
      <c r="B24" s="167"/>
      <c r="C24" s="167"/>
      <c r="D24" s="167"/>
      <c r="E24" s="39">
        <f>E17+E20+E23</f>
        <v>3</v>
      </c>
      <c r="F24" s="49">
        <f>F23+F20+F17</f>
        <v>26</v>
      </c>
      <c r="G24" s="49">
        <f t="shared" ref="G24:H24" si="11">G23+G20+G17</f>
        <v>72</v>
      </c>
      <c r="H24" s="49">
        <f t="shared" si="11"/>
        <v>98</v>
      </c>
      <c r="I24" s="43">
        <f>I17+I20+I23</f>
        <v>6</v>
      </c>
      <c r="J24" s="43">
        <f t="shared" ref="J24:K24" si="12">J17+J20+J23</f>
        <v>0</v>
      </c>
      <c r="K24" s="66">
        <f t="shared" si="12"/>
        <v>6</v>
      </c>
    </row>
    <row r="26" spans="1:11">
      <c r="A26" s="26" t="s">
        <v>29</v>
      </c>
      <c r="E26" s="29" t="s">
        <v>32</v>
      </c>
    </row>
    <row r="30" spans="1:11" s="25" customFormat="1">
      <c r="A30" s="27" t="s">
        <v>30</v>
      </c>
      <c r="B30" s="30"/>
      <c r="C30" s="31"/>
      <c r="D30" s="31"/>
      <c r="E30" s="32" t="s">
        <v>33</v>
      </c>
      <c r="F30" s="31"/>
      <c r="G30" s="31"/>
      <c r="H30" s="31"/>
      <c r="I30" s="31"/>
      <c r="J30" s="31"/>
      <c r="K30" s="31"/>
    </row>
    <row r="31" spans="1:11" s="36" customFormat="1" ht="12.75">
      <c r="A31" s="28" t="s">
        <v>31</v>
      </c>
      <c r="B31" s="33"/>
      <c r="C31" s="34"/>
      <c r="D31" s="34"/>
      <c r="E31" s="35" t="s">
        <v>34</v>
      </c>
      <c r="F31" s="34"/>
      <c r="G31" s="34"/>
      <c r="H31" s="34"/>
      <c r="I31" s="34"/>
      <c r="J31" s="34"/>
      <c r="K31" s="34"/>
    </row>
  </sheetData>
  <mergeCells count="25">
    <mergeCell ref="A15:A16"/>
    <mergeCell ref="B15:B16"/>
    <mergeCell ref="C15:C16"/>
    <mergeCell ref="E15:E16"/>
    <mergeCell ref="A17:D17"/>
    <mergeCell ref="E13:E14"/>
    <mergeCell ref="F13:H13"/>
    <mergeCell ref="I13:K13"/>
    <mergeCell ref="A10:K10"/>
    <mergeCell ref="A11:K11"/>
    <mergeCell ref="A13:A14"/>
    <mergeCell ref="B13:B14"/>
    <mergeCell ref="C13:C14"/>
    <mergeCell ref="D13:D14"/>
    <mergeCell ref="C21:C22"/>
    <mergeCell ref="A20:D20"/>
    <mergeCell ref="A23:D23"/>
    <mergeCell ref="A24:D24"/>
    <mergeCell ref="E18:E19"/>
    <mergeCell ref="C18:C19"/>
    <mergeCell ref="B18:B19"/>
    <mergeCell ref="A18:A19"/>
    <mergeCell ref="E21:E22"/>
    <mergeCell ref="A21:A22"/>
    <mergeCell ref="B21:B22"/>
  </mergeCells>
  <pageMargins left="0.51" right="0.37" top="0.51" bottom="0.75" header="0.3" footer="0.3"/>
  <pageSetup paperSize="9" scale="78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5F52E-0013-4F78-A933-0ADBE6108308}">
  <sheetPr>
    <pageSetUpPr fitToPage="1"/>
  </sheetPr>
  <dimension ref="A10:K46"/>
  <sheetViews>
    <sheetView topLeftCell="A25" zoomScale="99" zoomScaleNormal="99" workbookViewId="0">
      <selection activeCell="A28" sqref="A28:A29"/>
    </sheetView>
  </sheetViews>
  <sheetFormatPr defaultColWidth="8.85546875" defaultRowHeight="15"/>
  <cols>
    <col min="1" max="1" width="32.28515625" style="4" customWidth="1"/>
    <col min="2" max="2" width="15.85546875" style="2" customWidth="1"/>
    <col min="3" max="3" width="26.140625" style="1" customWidth="1"/>
    <col min="4" max="4" width="37" style="1" customWidth="1"/>
    <col min="5" max="5" width="13.5703125" style="3" customWidth="1"/>
    <col min="6" max="6" width="9" style="1" customWidth="1"/>
    <col min="7" max="7" width="8.42578125" style="1" customWidth="1"/>
    <col min="8" max="8" width="9.7109375" style="1" customWidth="1"/>
    <col min="9" max="9" width="15.140625" style="1" customWidth="1"/>
    <col min="10" max="10" width="12.28515625" style="1" customWidth="1"/>
    <col min="11" max="11" width="11.28515625" style="1" customWidth="1"/>
    <col min="12" max="16384" width="8.85546875" style="4"/>
  </cols>
  <sheetData>
    <row r="10" spans="1:11" ht="18.75">
      <c r="A10" s="159" t="s">
        <v>35</v>
      </c>
      <c r="B10" s="159"/>
      <c r="C10" s="159"/>
      <c r="D10" s="159"/>
      <c r="E10" s="159"/>
      <c r="F10" s="159"/>
      <c r="G10" s="159"/>
      <c r="H10" s="159"/>
      <c r="I10" s="159"/>
      <c r="J10" s="159"/>
      <c r="K10" s="159"/>
    </row>
    <row r="11" spans="1:11">
      <c r="A11" s="213" t="s">
        <v>44</v>
      </c>
      <c r="B11" s="161"/>
      <c r="C11" s="161"/>
      <c r="D11" s="161"/>
      <c r="E11" s="161"/>
      <c r="F11" s="161"/>
      <c r="G11" s="161"/>
      <c r="H11" s="161"/>
      <c r="I11" s="161"/>
      <c r="J11" s="161"/>
      <c r="K11" s="161"/>
    </row>
    <row r="13" spans="1:11" ht="37.15" customHeight="1">
      <c r="A13" s="168" t="s">
        <v>43</v>
      </c>
      <c r="B13" s="168" t="s">
        <v>23</v>
      </c>
      <c r="C13" s="168" t="s">
        <v>24</v>
      </c>
      <c r="D13" s="214" t="s">
        <v>0</v>
      </c>
      <c r="E13" s="216" t="s">
        <v>14</v>
      </c>
      <c r="F13" s="163" t="s">
        <v>15</v>
      </c>
      <c r="G13" s="163"/>
      <c r="H13" s="163"/>
      <c r="I13" s="164" t="s">
        <v>17</v>
      </c>
      <c r="J13" s="164"/>
      <c r="K13" s="164"/>
    </row>
    <row r="14" spans="1:11" ht="45">
      <c r="A14" s="169"/>
      <c r="B14" s="169"/>
      <c r="C14" s="169"/>
      <c r="D14" s="215"/>
      <c r="E14" s="216"/>
      <c r="F14" s="8" t="s">
        <v>16</v>
      </c>
      <c r="G14" s="8" t="s">
        <v>13</v>
      </c>
      <c r="H14" s="9" t="s">
        <v>20</v>
      </c>
      <c r="I14" s="12" t="s">
        <v>18</v>
      </c>
      <c r="J14" s="12" t="s">
        <v>19</v>
      </c>
      <c r="K14" s="53" t="s">
        <v>20</v>
      </c>
    </row>
    <row r="15" spans="1:11" ht="30">
      <c r="A15" s="208" t="s">
        <v>45</v>
      </c>
      <c r="B15" s="174">
        <v>45778</v>
      </c>
      <c r="C15" s="176" t="s">
        <v>46</v>
      </c>
      <c r="D15" s="50" t="s">
        <v>2</v>
      </c>
      <c r="E15" s="209">
        <v>1</v>
      </c>
      <c r="F15" s="10">
        <f>8+6+9+5+1</f>
        <v>29</v>
      </c>
      <c r="G15" s="10">
        <f>2+4+1+5+8</f>
        <v>20</v>
      </c>
      <c r="H15" s="11">
        <f>F15+G15</f>
        <v>49</v>
      </c>
      <c r="I15" s="13">
        <v>1</v>
      </c>
      <c r="J15" s="13"/>
      <c r="K15" s="14">
        <f>I15+J15</f>
        <v>1</v>
      </c>
    </row>
    <row r="16" spans="1:11" ht="30">
      <c r="A16" s="217"/>
      <c r="B16" s="180"/>
      <c r="C16" s="181"/>
      <c r="D16" s="37" t="s">
        <v>9</v>
      </c>
      <c r="E16" s="209"/>
      <c r="F16" s="10">
        <f>6+7+7</f>
        <v>20</v>
      </c>
      <c r="G16" s="10">
        <f>4+3+3</f>
        <v>10</v>
      </c>
      <c r="H16" s="11">
        <f t="shared" ref="H16:H19" si="0">F16+G16</f>
        <v>30</v>
      </c>
      <c r="I16" s="13">
        <v>1</v>
      </c>
      <c r="J16" s="13"/>
      <c r="K16" s="14">
        <f t="shared" ref="K16:K18" si="1">I16+J16</f>
        <v>1</v>
      </c>
    </row>
    <row r="17" spans="1:11" ht="30">
      <c r="A17" s="217"/>
      <c r="B17" s="180"/>
      <c r="C17" s="181"/>
      <c r="D17" s="51" t="s">
        <v>50</v>
      </c>
      <c r="E17" s="209"/>
      <c r="F17" s="10">
        <f>7+5+1</f>
        <v>13</v>
      </c>
      <c r="G17" s="10">
        <f>3+5+6</f>
        <v>14</v>
      </c>
      <c r="H17" s="11">
        <f t="shared" si="0"/>
        <v>27</v>
      </c>
      <c r="I17" s="13">
        <v>1</v>
      </c>
      <c r="J17" s="13"/>
      <c r="K17" s="14">
        <f t="shared" si="1"/>
        <v>1</v>
      </c>
    </row>
    <row r="18" spans="1:11">
      <c r="A18" s="217"/>
      <c r="B18" s="180"/>
      <c r="C18" s="181"/>
      <c r="D18" s="37" t="s">
        <v>6</v>
      </c>
      <c r="E18" s="209"/>
      <c r="F18" s="10">
        <v>4</v>
      </c>
      <c r="G18" s="10">
        <v>3</v>
      </c>
      <c r="H18" s="11">
        <f t="shared" si="0"/>
        <v>7</v>
      </c>
      <c r="I18" s="13">
        <v>1</v>
      </c>
      <c r="J18" s="13"/>
      <c r="K18" s="14">
        <f t="shared" si="1"/>
        <v>1</v>
      </c>
    </row>
    <row r="19" spans="1:11">
      <c r="A19" s="200"/>
      <c r="B19" s="180"/>
      <c r="C19" s="181"/>
      <c r="D19" s="51" t="s">
        <v>3</v>
      </c>
      <c r="E19" s="209"/>
      <c r="F19" s="10">
        <v>6</v>
      </c>
      <c r="G19" s="10">
        <v>2</v>
      </c>
      <c r="H19" s="11">
        <f t="shared" si="0"/>
        <v>8</v>
      </c>
      <c r="I19" s="13">
        <v>1</v>
      </c>
      <c r="J19" s="13"/>
      <c r="K19" s="14">
        <f>I19+J19</f>
        <v>1</v>
      </c>
    </row>
    <row r="20" spans="1:11" s="15" customFormat="1">
      <c r="A20" s="156" t="s">
        <v>26</v>
      </c>
      <c r="B20" s="157"/>
      <c r="C20" s="157"/>
      <c r="D20" s="157"/>
      <c r="E20" s="54">
        <f t="shared" ref="E20:K20" si="2">SUM(E15:E19)</f>
        <v>1</v>
      </c>
      <c r="F20" s="11">
        <f t="shared" si="2"/>
        <v>72</v>
      </c>
      <c r="G20" s="11">
        <f t="shared" si="2"/>
        <v>49</v>
      </c>
      <c r="H20" s="11">
        <f t="shared" si="2"/>
        <v>121</v>
      </c>
      <c r="I20" s="14">
        <f t="shared" si="2"/>
        <v>5</v>
      </c>
      <c r="J20" s="14">
        <f t="shared" si="2"/>
        <v>0</v>
      </c>
      <c r="K20" s="14">
        <f t="shared" si="2"/>
        <v>5</v>
      </c>
    </row>
    <row r="21" spans="1:11" ht="30">
      <c r="A21" s="208" t="s">
        <v>47</v>
      </c>
      <c r="B21" s="174" t="s">
        <v>48</v>
      </c>
      <c r="C21" s="176" t="s">
        <v>49</v>
      </c>
      <c r="D21" s="50" t="s">
        <v>2</v>
      </c>
      <c r="E21" s="209">
        <v>1</v>
      </c>
      <c r="F21" s="10">
        <v>5</v>
      </c>
      <c r="G21" s="10">
        <v>1</v>
      </c>
      <c r="H21" s="11">
        <f>F21+G21</f>
        <v>6</v>
      </c>
      <c r="I21" s="13">
        <v>1</v>
      </c>
      <c r="J21" s="13"/>
      <c r="K21" s="14">
        <f>I21+J21</f>
        <v>1</v>
      </c>
    </row>
    <row r="22" spans="1:11">
      <c r="A22" s="200"/>
      <c r="B22" s="180"/>
      <c r="C22" s="181"/>
      <c r="D22" s="51" t="s">
        <v>51</v>
      </c>
      <c r="E22" s="209"/>
      <c r="F22" s="10">
        <v>6</v>
      </c>
      <c r="G22" s="10">
        <v>3</v>
      </c>
      <c r="H22" s="11">
        <f>F22+G22</f>
        <v>9</v>
      </c>
      <c r="I22" s="13">
        <v>1</v>
      </c>
      <c r="J22" s="13"/>
      <c r="K22" s="14">
        <f>I22+J22</f>
        <v>1</v>
      </c>
    </row>
    <row r="23" spans="1:11" s="15" customFormat="1">
      <c r="A23" s="156" t="s">
        <v>26</v>
      </c>
      <c r="B23" s="157"/>
      <c r="C23" s="157"/>
      <c r="D23" s="157"/>
      <c r="E23" s="54">
        <f t="shared" ref="E23:K23" si="3">SUM(E21:E22)</f>
        <v>1</v>
      </c>
      <c r="F23" s="11">
        <f t="shared" si="3"/>
        <v>11</v>
      </c>
      <c r="G23" s="11">
        <f t="shared" si="3"/>
        <v>4</v>
      </c>
      <c r="H23" s="11">
        <f t="shared" si="3"/>
        <v>15</v>
      </c>
      <c r="I23" s="14">
        <f t="shared" si="3"/>
        <v>2</v>
      </c>
      <c r="J23" s="14">
        <f t="shared" si="3"/>
        <v>0</v>
      </c>
      <c r="K23" s="14">
        <f t="shared" si="3"/>
        <v>2</v>
      </c>
    </row>
    <row r="24" spans="1:11" ht="30">
      <c r="A24" s="211" t="s">
        <v>52</v>
      </c>
      <c r="B24" s="202">
        <v>45793</v>
      </c>
      <c r="C24" s="196" t="s">
        <v>53</v>
      </c>
      <c r="D24" s="52" t="s">
        <v>59</v>
      </c>
      <c r="E24" s="209">
        <v>1</v>
      </c>
      <c r="F24" s="10">
        <f>6+3+2+7+1</f>
        <v>19</v>
      </c>
      <c r="G24" s="10">
        <f>4+7+8+3+4</f>
        <v>26</v>
      </c>
      <c r="H24" s="11">
        <f>F24+G24</f>
        <v>45</v>
      </c>
      <c r="I24" s="13">
        <v>1</v>
      </c>
      <c r="J24" s="13"/>
      <c r="K24" s="14">
        <f>I24+J24</f>
        <v>1</v>
      </c>
    </row>
    <row r="25" spans="1:11" ht="30">
      <c r="A25" s="201"/>
      <c r="B25" s="202"/>
      <c r="C25" s="196"/>
      <c r="D25" s="52" t="s">
        <v>2</v>
      </c>
      <c r="E25" s="209"/>
      <c r="F25" s="10">
        <f>1+2+8+5</f>
        <v>16</v>
      </c>
      <c r="G25" s="10">
        <f>10+9+8+2+5</f>
        <v>34</v>
      </c>
      <c r="H25" s="11">
        <f t="shared" ref="H25:H26" si="4">F25+G25</f>
        <v>50</v>
      </c>
      <c r="I25" s="13">
        <v>1</v>
      </c>
      <c r="J25" s="13"/>
      <c r="K25" s="14">
        <f t="shared" ref="K25:K26" si="5">I25+J25</f>
        <v>1</v>
      </c>
    </row>
    <row r="26" spans="1:11" ht="30">
      <c r="A26" s="201"/>
      <c r="B26" s="202"/>
      <c r="C26" s="196"/>
      <c r="D26" s="52" t="s">
        <v>9</v>
      </c>
      <c r="E26" s="209"/>
      <c r="F26" s="10">
        <v>3</v>
      </c>
      <c r="G26" s="10">
        <v>7</v>
      </c>
      <c r="H26" s="11">
        <f t="shared" si="4"/>
        <v>10</v>
      </c>
      <c r="I26" s="13">
        <v>1</v>
      </c>
      <c r="J26" s="13"/>
      <c r="K26" s="14">
        <f t="shared" si="5"/>
        <v>1</v>
      </c>
    </row>
    <row r="27" spans="1:11" s="15" customFormat="1">
      <c r="A27" s="156" t="s">
        <v>26</v>
      </c>
      <c r="B27" s="157"/>
      <c r="C27" s="157"/>
      <c r="D27" s="157"/>
      <c r="E27" s="54">
        <f>E24</f>
        <v>1</v>
      </c>
      <c r="F27" s="11">
        <f>SUM(F24:F26)</f>
        <v>38</v>
      </c>
      <c r="G27" s="11">
        <f t="shared" ref="G27:H27" si="6">SUM(G24:G26)</f>
        <v>67</v>
      </c>
      <c r="H27" s="11">
        <f t="shared" si="6"/>
        <v>105</v>
      </c>
      <c r="I27" s="14">
        <f>SUM(I24:I26)</f>
        <v>3</v>
      </c>
      <c r="J27" s="14">
        <f t="shared" ref="J27:K27" si="7">SUM(J24:J26)</f>
        <v>0</v>
      </c>
      <c r="K27" s="14">
        <f t="shared" si="7"/>
        <v>3</v>
      </c>
    </row>
    <row r="28" spans="1:11" ht="30">
      <c r="A28" s="210" t="s">
        <v>54</v>
      </c>
      <c r="B28" s="202">
        <v>45800</v>
      </c>
      <c r="C28" s="212" t="s">
        <v>60</v>
      </c>
      <c r="D28" s="59" t="s">
        <v>2</v>
      </c>
      <c r="E28" s="209">
        <v>1</v>
      </c>
      <c r="F28" s="10">
        <f>2+5+8</f>
        <v>15</v>
      </c>
      <c r="G28" s="10">
        <f>7+3+2</f>
        <v>12</v>
      </c>
      <c r="H28" s="11">
        <f>F28+G28</f>
        <v>27</v>
      </c>
      <c r="I28" s="13">
        <v>1</v>
      </c>
      <c r="J28" s="13"/>
      <c r="K28" s="14">
        <f>I28+J28</f>
        <v>1</v>
      </c>
    </row>
    <row r="29" spans="1:11">
      <c r="A29" s="211"/>
      <c r="B29" s="202"/>
      <c r="C29" s="212"/>
      <c r="D29" s="60" t="s">
        <v>6</v>
      </c>
      <c r="E29" s="209"/>
      <c r="F29" s="10">
        <v>0</v>
      </c>
      <c r="G29" s="10">
        <v>0</v>
      </c>
      <c r="H29" s="11">
        <f>F29+G29</f>
        <v>0</v>
      </c>
      <c r="I29" s="13">
        <v>1</v>
      </c>
      <c r="J29" s="13"/>
      <c r="K29" s="14">
        <f>I29+J29</f>
        <v>1</v>
      </c>
    </row>
    <row r="30" spans="1:11" s="15" customFormat="1">
      <c r="A30" s="156" t="s">
        <v>26</v>
      </c>
      <c r="B30" s="157"/>
      <c r="C30" s="157"/>
      <c r="D30" s="157"/>
      <c r="E30" s="54">
        <f>E28</f>
        <v>1</v>
      </c>
      <c r="F30" s="11">
        <f>SUM(F28:F29)</f>
        <v>15</v>
      </c>
      <c r="G30" s="11">
        <f t="shared" ref="G30:H30" si="8">SUM(G28:G29)</f>
        <v>12</v>
      </c>
      <c r="H30" s="11">
        <f t="shared" si="8"/>
        <v>27</v>
      </c>
      <c r="I30" s="14">
        <f>SUM(I28:I29)</f>
        <v>2</v>
      </c>
      <c r="J30" s="14">
        <f t="shared" ref="J30:K30" si="9">SUM(J28:J29)</f>
        <v>0</v>
      </c>
      <c r="K30" s="14">
        <f t="shared" si="9"/>
        <v>2</v>
      </c>
    </row>
    <row r="31" spans="1:11" ht="28.15" customHeight="1">
      <c r="A31" s="211" t="s">
        <v>56</v>
      </c>
      <c r="B31" s="202">
        <v>45804</v>
      </c>
      <c r="C31" s="196" t="s">
        <v>55</v>
      </c>
      <c r="D31" s="58" t="s">
        <v>9</v>
      </c>
      <c r="E31" s="209">
        <v>1</v>
      </c>
      <c r="F31" s="10">
        <v>6</v>
      </c>
      <c r="G31" s="10">
        <v>12</v>
      </c>
      <c r="H31" s="11">
        <f>F31+G31</f>
        <v>18</v>
      </c>
      <c r="I31" s="13">
        <v>1</v>
      </c>
      <c r="J31" s="13"/>
      <c r="K31" s="14">
        <f>I31+J31</f>
        <v>1</v>
      </c>
    </row>
    <row r="32" spans="1:11" ht="25.15" customHeight="1">
      <c r="A32" s="201"/>
      <c r="B32" s="202"/>
      <c r="C32" s="196"/>
      <c r="D32" s="58" t="s">
        <v>59</v>
      </c>
      <c r="E32" s="209"/>
      <c r="F32" s="10">
        <f>2+6+5+5+3+2</f>
        <v>23</v>
      </c>
      <c r="G32" s="10">
        <f>8+4+5+5+7+4</f>
        <v>33</v>
      </c>
      <c r="H32" s="11">
        <f t="shared" ref="H32:H33" si="10">F32+G32</f>
        <v>56</v>
      </c>
      <c r="I32" s="13">
        <v>1</v>
      </c>
      <c r="J32" s="13"/>
      <c r="K32" s="14">
        <f t="shared" ref="K32:K33" si="11">I32+J32</f>
        <v>1</v>
      </c>
    </row>
    <row r="33" spans="1:11">
      <c r="A33" s="201"/>
      <c r="B33" s="202"/>
      <c r="C33" s="196"/>
      <c r="D33" s="58" t="s">
        <v>6</v>
      </c>
      <c r="E33" s="209"/>
      <c r="F33" s="10">
        <v>1</v>
      </c>
      <c r="G33" s="10">
        <v>6</v>
      </c>
      <c r="H33" s="11">
        <f t="shared" si="10"/>
        <v>7</v>
      </c>
      <c r="I33" s="13">
        <v>1</v>
      </c>
      <c r="J33" s="13"/>
      <c r="K33" s="14">
        <f t="shared" si="11"/>
        <v>1</v>
      </c>
    </row>
    <row r="34" spans="1:11" s="15" customFormat="1">
      <c r="A34" s="156" t="s">
        <v>26</v>
      </c>
      <c r="B34" s="157"/>
      <c r="C34" s="157"/>
      <c r="D34" s="157"/>
      <c r="E34" s="54">
        <f>E31</f>
        <v>1</v>
      </c>
      <c r="F34" s="11">
        <f>SUM(F31:F33)</f>
        <v>30</v>
      </c>
      <c r="G34" s="11">
        <f t="shared" ref="G34:H34" si="12">SUM(G31:G33)</f>
        <v>51</v>
      </c>
      <c r="H34" s="11">
        <f t="shared" si="12"/>
        <v>81</v>
      </c>
      <c r="I34" s="14">
        <f>SUM(I31:I33)</f>
        <v>3</v>
      </c>
      <c r="J34" s="14">
        <f t="shared" ref="J34:K34" si="13">SUM(J31:J33)</f>
        <v>0</v>
      </c>
      <c r="K34" s="14">
        <f t="shared" si="13"/>
        <v>3</v>
      </c>
    </row>
    <row r="35" spans="1:11" ht="30">
      <c r="A35" s="211" t="s">
        <v>57</v>
      </c>
      <c r="B35" s="218">
        <v>45805</v>
      </c>
      <c r="C35" s="196" t="s">
        <v>58</v>
      </c>
      <c r="D35" s="58" t="s">
        <v>2</v>
      </c>
      <c r="E35" s="209">
        <v>1</v>
      </c>
      <c r="F35" s="10">
        <v>2</v>
      </c>
      <c r="G35" s="10">
        <v>2</v>
      </c>
      <c r="H35" s="11">
        <f>F35+G35</f>
        <v>4</v>
      </c>
      <c r="I35" s="13">
        <v>1</v>
      </c>
      <c r="J35" s="13"/>
      <c r="K35" s="14">
        <f>I35+J35</f>
        <v>1</v>
      </c>
    </row>
    <row r="36" spans="1:11" ht="30">
      <c r="A36" s="201"/>
      <c r="B36" s="202"/>
      <c r="C36" s="196"/>
      <c r="D36" s="58" t="s">
        <v>9</v>
      </c>
      <c r="E36" s="209"/>
      <c r="F36" s="10">
        <v>3</v>
      </c>
      <c r="G36" s="10">
        <v>3</v>
      </c>
      <c r="H36" s="11">
        <f t="shared" ref="H36:H37" si="14">F36+G36</f>
        <v>6</v>
      </c>
      <c r="I36" s="13">
        <v>1</v>
      </c>
      <c r="J36" s="13"/>
      <c r="K36" s="14">
        <f t="shared" ref="K36:K37" si="15">I36+J36</f>
        <v>1</v>
      </c>
    </row>
    <row r="37" spans="1:11" ht="15.6" customHeight="1">
      <c r="A37" s="201"/>
      <c r="B37" s="202"/>
      <c r="C37" s="196"/>
      <c r="D37" s="58" t="s">
        <v>6</v>
      </c>
      <c r="E37" s="209"/>
      <c r="F37" s="10">
        <v>2</v>
      </c>
      <c r="G37" s="10">
        <v>1</v>
      </c>
      <c r="H37" s="11">
        <f t="shared" si="14"/>
        <v>3</v>
      </c>
      <c r="I37" s="13">
        <v>1</v>
      </c>
      <c r="J37" s="13"/>
      <c r="K37" s="14">
        <f t="shared" si="15"/>
        <v>1</v>
      </c>
    </row>
    <row r="38" spans="1:11" s="15" customFormat="1">
      <c r="A38" s="156" t="s">
        <v>26</v>
      </c>
      <c r="B38" s="157"/>
      <c r="C38" s="157"/>
      <c r="D38" s="157"/>
      <c r="E38" s="54">
        <f>E35</f>
        <v>1</v>
      </c>
      <c r="F38" s="11">
        <f>SUM(F35:F37)</f>
        <v>7</v>
      </c>
      <c r="G38" s="11">
        <f>SUM(G35:G37)</f>
        <v>6</v>
      </c>
      <c r="H38" s="11">
        <f>SUM(H35:H37)</f>
        <v>13</v>
      </c>
      <c r="I38" s="14">
        <f>SUM(I35:I37)</f>
        <v>3</v>
      </c>
      <c r="J38" s="14">
        <f t="shared" ref="J38:K38" si="16">SUM(J35:J37)</f>
        <v>0</v>
      </c>
      <c r="K38" s="14">
        <f t="shared" si="16"/>
        <v>3</v>
      </c>
    </row>
    <row r="39" spans="1:11" s="7" customFormat="1">
      <c r="A39" s="166" t="s">
        <v>25</v>
      </c>
      <c r="B39" s="167"/>
      <c r="C39" s="167"/>
      <c r="D39" s="167"/>
      <c r="E39" s="55">
        <f>E38+E34+E30+E27+E23+E20</f>
        <v>6</v>
      </c>
      <c r="F39" s="56">
        <f>F38+F34+F30+F27+F23+F20</f>
        <v>173</v>
      </c>
      <c r="G39" s="56">
        <f>G38+G34+G30+G27+G23+G20</f>
        <v>189</v>
      </c>
      <c r="H39" s="56">
        <f>H38+H34+H30+H27+H23+H20</f>
        <v>362</v>
      </c>
      <c r="I39" s="57">
        <f>I38+I34+I30+I27+I23+I20</f>
        <v>18</v>
      </c>
      <c r="J39" s="57">
        <f t="shared" ref="J39:K39" si="17">J38+J34+J30+J27+J23+J20</f>
        <v>0</v>
      </c>
      <c r="K39" s="57">
        <f t="shared" si="17"/>
        <v>18</v>
      </c>
    </row>
    <row r="41" spans="1:11">
      <c r="A41" s="26" t="s">
        <v>29</v>
      </c>
      <c r="E41" s="29" t="s">
        <v>32</v>
      </c>
    </row>
    <row r="45" spans="1:11" s="25" customFormat="1">
      <c r="A45" s="27" t="s">
        <v>30</v>
      </c>
      <c r="B45" s="30"/>
      <c r="C45" s="31"/>
      <c r="D45" s="31"/>
      <c r="E45" s="32" t="s">
        <v>33</v>
      </c>
      <c r="F45" s="31"/>
      <c r="G45" s="31"/>
      <c r="H45" s="31"/>
      <c r="I45" s="31"/>
      <c r="J45" s="31"/>
      <c r="K45" s="31"/>
    </row>
    <row r="46" spans="1:11" s="36" customFormat="1" ht="12.75">
      <c r="A46" s="28" t="s">
        <v>31</v>
      </c>
      <c r="B46" s="33"/>
      <c r="C46" s="34"/>
      <c r="D46" s="34"/>
      <c r="E46" s="35" t="s">
        <v>34</v>
      </c>
      <c r="F46" s="34"/>
      <c r="G46" s="34"/>
      <c r="H46" s="34"/>
      <c r="I46" s="34"/>
      <c r="J46" s="34"/>
      <c r="K46" s="34"/>
    </row>
  </sheetData>
  <mergeCells count="40">
    <mergeCell ref="A38:D38"/>
    <mergeCell ref="A35:A37"/>
    <mergeCell ref="B35:B37"/>
    <mergeCell ref="C35:C37"/>
    <mergeCell ref="E35:E37"/>
    <mergeCell ref="A30:D30"/>
    <mergeCell ref="A31:A33"/>
    <mergeCell ref="B31:B33"/>
    <mergeCell ref="C31:C33"/>
    <mergeCell ref="E31:E33"/>
    <mergeCell ref="A20:D20"/>
    <mergeCell ref="A10:K10"/>
    <mergeCell ref="A11:K11"/>
    <mergeCell ref="A13:A14"/>
    <mergeCell ref="B13:B14"/>
    <mergeCell ref="C13:C14"/>
    <mergeCell ref="D13:D14"/>
    <mergeCell ref="E13:E14"/>
    <mergeCell ref="F13:H13"/>
    <mergeCell ref="I13:K13"/>
    <mergeCell ref="A15:A19"/>
    <mergeCell ref="B15:B19"/>
    <mergeCell ref="C15:C19"/>
    <mergeCell ref="E15:E19"/>
    <mergeCell ref="E28:E29"/>
    <mergeCell ref="A27:D27"/>
    <mergeCell ref="A39:D39"/>
    <mergeCell ref="A21:A22"/>
    <mergeCell ref="B21:B22"/>
    <mergeCell ref="C21:C22"/>
    <mergeCell ref="A34:D34"/>
    <mergeCell ref="A28:A29"/>
    <mergeCell ref="B28:B29"/>
    <mergeCell ref="C28:C29"/>
    <mergeCell ref="E21:E22"/>
    <mergeCell ref="A23:D23"/>
    <mergeCell ref="A24:A26"/>
    <mergeCell ref="B24:B26"/>
    <mergeCell ref="C24:C26"/>
    <mergeCell ref="E24:E26"/>
  </mergeCells>
  <pageMargins left="0.43" right="0.35" top="0.64" bottom="0.68" header="0.19685039370078741" footer="0.15748031496062992"/>
  <pageSetup paperSize="9" scale="73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CAD50-C435-4357-90EB-716A8504B060}">
  <sheetPr>
    <pageSetUpPr fitToPage="1"/>
  </sheetPr>
  <dimension ref="A10:K56"/>
  <sheetViews>
    <sheetView topLeftCell="A36" zoomScale="99" zoomScaleNormal="99" workbookViewId="0">
      <selection activeCell="A25" sqref="A25:A27"/>
    </sheetView>
  </sheetViews>
  <sheetFormatPr defaultColWidth="8.85546875" defaultRowHeight="15"/>
  <cols>
    <col min="1" max="1" width="32.28515625" style="4" customWidth="1"/>
    <col min="2" max="2" width="17.7109375" style="2" customWidth="1"/>
    <col min="3" max="3" width="23.28515625" style="1" customWidth="1"/>
    <col min="4" max="4" width="37" style="1" customWidth="1"/>
    <col min="5" max="5" width="13.5703125" style="3" customWidth="1"/>
    <col min="6" max="6" width="9" style="1" customWidth="1"/>
    <col min="7" max="7" width="8.42578125" style="1" customWidth="1"/>
    <col min="8" max="8" width="9.7109375" style="1" customWidth="1"/>
    <col min="9" max="9" width="15.140625" style="1" customWidth="1"/>
    <col min="10" max="10" width="12.28515625" style="1" customWidth="1"/>
    <col min="11" max="11" width="11.28515625" style="1" customWidth="1"/>
    <col min="12" max="16384" width="8.85546875" style="4"/>
  </cols>
  <sheetData>
    <row r="10" spans="1:11" ht="18.75">
      <c r="A10" s="159" t="s">
        <v>35</v>
      </c>
      <c r="B10" s="159"/>
      <c r="C10" s="159"/>
      <c r="D10" s="159"/>
      <c r="E10" s="159"/>
      <c r="F10" s="159"/>
      <c r="G10" s="159"/>
      <c r="H10" s="159"/>
      <c r="I10" s="159"/>
      <c r="J10" s="159"/>
      <c r="K10" s="159"/>
    </row>
    <row r="11" spans="1:11">
      <c r="A11" s="219" t="s">
        <v>61</v>
      </c>
      <c r="B11" s="161"/>
      <c r="C11" s="161"/>
      <c r="D11" s="161"/>
      <c r="E11" s="161"/>
      <c r="F11" s="161"/>
      <c r="G11" s="161"/>
      <c r="H11" s="161"/>
      <c r="I11" s="161"/>
      <c r="J11" s="161"/>
      <c r="K11" s="161"/>
    </row>
    <row r="13" spans="1:11" ht="52.15" customHeight="1">
      <c r="A13" s="168" t="s">
        <v>43</v>
      </c>
      <c r="B13" s="168" t="s">
        <v>23</v>
      </c>
      <c r="C13" s="168" t="s">
        <v>24</v>
      </c>
      <c r="D13" s="214" t="s">
        <v>0</v>
      </c>
      <c r="E13" s="216" t="s">
        <v>14</v>
      </c>
      <c r="F13" s="163" t="s">
        <v>15</v>
      </c>
      <c r="G13" s="163"/>
      <c r="H13" s="163"/>
      <c r="I13" s="164" t="s">
        <v>17</v>
      </c>
      <c r="J13" s="164"/>
      <c r="K13" s="164"/>
    </row>
    <row r="14" spans="1:11" ht="45">
      <c r="A14" s="169"/>
      <c r="B14" s="169"/>
      <c r="C14" s="169"/>
      <c r="D14" s="215"/>
      <c r="E14" s="216"/>
      <c r="F14" s="8" t="s">
        <v>16</v>
      </c>
      <c r="G14" s="8" t="s">
        <v>13</v>
      </c>
      <c r="H14" s="9" t="s">
        <v>20</v>
      </c>
      <c r="I14" s="12" t="s">
        <v>18</v>
      </c>
      <c r="J14" s="12" t="s">
        <v>19</v>
      </c>
      <c r="K14" s="53" t="s">
        <v>20</v>
      </c>
    </row>
    <row r="15" spans="1:11" ht="30">
      <c r="A15" s="221" t="s">
        <v>62</v>
      </c>
      <c r="B15" s="174">
        <v>45812</v>
      </c>
      <c r="C15" s="176" t="s">
        <v>67</v>
      </c>
      <c r="D15" s="58" t="s">
        <v>9</v>
      </c>
      <c r="E15" s="209">
        <v>1</v>
      </c>
      <c r="F15" s="10">
        <v>5</v>
      </c>
      <c r="G15" s="10">
        <v>6</v>
      </c>
      <c r="H15" s="11">
        <f>F15+G15</f>
        <v>11</v>
      </c>
      <c r="I15" s="13">
        <v>1</v>
      </c>
      <c r="J15" s="13"/>
      <c r="K15" s="14">
        <f>I15+J15</f>
        <v>1</v>
      </c>
    </row>
    <row r="16" spans="1:11">
      <c r="A16" s="217"/>
      <c r="B16" s="180"/>
      <c r="C16" s="181"/>
      <c r="D16" s="65" t="s">
        <v>80</v>
      </c>
      <c r="E16" s="209"/>
      <c r="F16" s="10">
        <f>2+2+7</f>
        <v>11</v>
      </c>
      <c r="G16" s="10">
        <f>8+8+3</f>
        <v>19</v>
      </c>
      <c r="H16" s="11">
        <f t="shared" ref="H16:H17" si="0">F16+G16</f>
        <v>30</v>
      </c>
      <c r="I16" s="13">
        <v>1</v>
      </c>
      <c r="J16" s="13"/>
      <c r="K16" s="14">
        <f t="shared" ref="K16:K17" si="1">I16+J16</f>
        <v>1</v>
      </c>
    </row>
    <row r="17" spans="1:11" ht="30">
      <c r="A17" s="217"/>
      <c r="B17" s="180"/>
      <c r="C17" s="181"/>
      <c r="D17" s="79" t="s">
        <v>2</v>
      </c>
      <c r="E17" s="209"/>
      <c r="F17" s="10">
        <v>3</v>
      </c>
      <c r="G17" s="10">
        <v>4</v>
      </c>
      <c r="H17" s="11">
        <f t="shared" si="0"/>
        <v>7</v>
      </c>
      <c r="I17" s="13">
        <v>1</v>
      </c>
      <c r="J17" s="13"/>
      <c r="K17" s="14">
        <f t="shared" si="1"/>
        <v>1</v>
      </c>
    </row>
    <row r="18" spans="1:11" s="77" customFormat="1">
      <c r="A18" s="222" t="s">
        <v>26</v>
      </c>
      <c r="B18" s="223"/>
      <c r="C18" s="223"/>
      <c r="D18" s="223"/>
      <c r="E18" s="76">
        <f t="shared" ref="E18:K18" si="2">SUM(E15:E17)</f>
        <v>1</v>
      </c>
      <c r="F18" s="76">
        <f>SUM(F15:F17)</f>
        <v>19</v>
      </c>
      <c r="G18" s="76">
        <f t="shared" ref="G18:H18" si="3">SUM(G15:G17)</f>
        <v>29</v>
      </c>
      <c r="H18" s="76">
        <f t="shared" si="3"/>
        <v>48</v>
      </c>
      <c r="I18" s="76">
        <f t="shared" si="2"/>
        <v>3</v>
      </c>
      <c r="J18" s="76">
        <f t="shared" si="2"/>
        <v>0</v>
      </c>
      <c r="K18" s="76">
        <f t="shared" si="2"/>
        <v>3</v>
      </c>
    </row>
    <row r="19" spans="1:11" ht="30">
      <c r="A19" s="64" t="s">
        <v>63</v>
      </c>
      <c r="B19" s="62">
        <v>45813</v>
      </c>
      <c r="C19" s="61" t="s">
        <v>68</v>
      </c>
      <c r="D19" s="58" t="s">
        <v>9</v>
      </c>
      <c r="E19" s="63">
        <v>1</v>
      </c>
      <c r="F19" s="10">
        <f>6+5+4+3</f>
        <v>18</v>
      </c>
      <c r="G19" s="10">
        <f>4+5+6+7</f>
        <v>22</v>
      </c>
      <c r="H19" s="11">
        <f>F19+G19</f>
        <v>40</v>
      </c>
      <c r="I19" s="13">
        <v>1</v>
      </c>
      <c r="J19" s="13"/>
      <c r="K19" s="14">
        <f>I19+J19</f>
        <v>1</v>
      </c>
    </row>
    <row r="20" spans="1:11" s="77" customFormat="1">
      <c r="A20" s="222" t="s">
        <v>26</v>
      </c>
      <c r="B20" s="223"/>
      <c r="C20" s="223"/>
      <c r="D20" s="223"/>
      <c r="E20" s="76">
        <f t="shared" ref="E20:K20" si="4">SUM(E19:E19)</f>
        <v>1</v>
      </c>
      <c r="F20" s="76">
        <f>F19</f>
        <v>18</v>
      </c>
      <c r="G20" s="76">
        <f t="shared" ref="G20:H20" si="5">G19</f>
        <v>22</v>
      </c>
      <c r="H20" s="76">
        <f t="shared" si="5"/>
        <v>40</v>
      </c>
      <c r="I20" s="76">
        <f t="shared" si="4"/>
        <v>1</v>
      </c>
      <c r="J20" s="76">
        <f t="shared" si="4"/>
        <v>0</v>
      </c>
      <c r="K20" s="76">
        <f t="shared" si="4"/>
        <v>1</v>
      </c>
    </row>
    <row r="21" spans="1:11" ht="30">
      <c r="A21" s="220" t="s">
        <v>64</v>
      </c>
      <c r="B21" s="202">
        <v>45819</v>
      </c>
      <c r="C21" s="196" t="s">
        <v>69</v>
      </c>
      <c r="D21" s="58" t="s">
        <v>9</v>
      </c>
      <c r="E21" s="209">
        <v>1</v>
      </c>
      <c r="F21" s="10">
        <v>0</v>
      </c>
      <c r="G21" s="10">
        <v>2</v>
      </c>
      <c r="H21" s="11">
        <f>F21+G21</f>
        <v>2</v>
      </c>
      <c r="I21" s="13">
        <v>1</v>
      </c>
      <c r="J21" s="13"/>
      <c r="K21" s="14">
        <f>I21+J21</f>
        <v>1</v>
      </c>
    </row>
    <row r="22" spans="1:11">
      <c r="A22" s="201"/>
      <c r="B22" s="202"/>
      <c r="C22" s="196"/>
      <c r="D22" s="51" t="s">
        <v>3</v>
      </c>
      <c r="E22" s="209"/>
      <c r="F22" s="10">
        <v>1</v>
      </c>
      <c r="G22" s="10">
        <v>0</v>
      </c>
      <c r="H22" s="11">
        <f t="shared" ref="H22:H23" si="6">F22+G22</f>
        <v>1</v>
      </c>
      <c r="I22" s="13">
        <v>1</v>
      </c>
      <c r="J22" s="13"/>
      <c r="K22" s="14">
        <f t="shared" ref="K22:K23" si="7">I22+J22</f>
        <v>1</v>
      </c>
    </row>
    <row r="23" spans="1:11" ht="30">
      <c r="A23" s="201"/>
      <c r="B23" s="202"/>
      <c r="C23" s="196"/>
      <c r="D23" s="58" t="s">
        <v>2</v>
      </c>
      <c r="E23" s="209"/>
      <c r="F23" s="10">
        <v>1</v>
      </c>
      <c r="G23" s="10">
        <v>4</v>
      </c>
      <c r="H23" s="11">
        <f t="shared" si="6"/>
        <v>5</v>
      </c>
      <c r="I23" s="13">
        <v>1</v>
      </c>
      <c r="J23" s="13"/>
      <c r="K23" s="14">
        <f t="shared" si="7"/>
        <v>1</v>
      </c>
    </row>
    <row r="24" spans="1:11" s="77" customFormat="1">
      <c r="A24" s="222" t="s">
        <v>26</v>
      </c>
      <c r="B24" s="223"/>
      <c r="C24" s="223"/>
      <c r="D24" s="223"/>
      <c r="E24" s="76">
        <f>E21</f>
        <v>1</v>
      </c>
      <c r="F24" s="76">
        <f>SUM(F21:F23)</f>
        <v>2</v>
      </c>
      <c r="G24" s="76">
        <f t="shared" ref="G24:H24" si="8">SUM(G21:G23)</f>
        <v>6</v>
      </c>
      <c r="H24" s="76">
        <f t="shared" si="8"/>
        <v>8</v>
      </c>
      <c r="I24" s="76">
        <f>SUM(I21:I23)</f>
        <v>3</v>
      </c>
      <c r="J24" s="76">
        <f t="shared" ref="J24:K24" si="9">SUM(J21:J23)</f>
        <v>0</v>
      </c>
      <c r="K24" s="76">
        <f t="shared" si="9"/>
        <v>3</v>
      </c>
    </row>
    <row r="25" spans="1:11" ht="30">
      <c r="A25" s="210" t="s">
        <v>65</v>
      </c>
      <c r="B25" s="202">
        <v>45820</v>
      </c>
      <c r="C25" s="196" t="s">
        <v>66</v>
      </c>
      <c r="D25" s="58" t="s">
        <v>9</v>
      </c>
      <c r="E25" s="209">
        <v>1</v>
      </c>
      <c r="F25" s="10">
        <v>10</v>
      </c>
      <c r="G25" s="10">
        <v>4</v>
      </c>
      <c r="H25" s="11">
        <f>F25+G25</f>
        <v>14</v>
      </c>
      <c r="I25" s="13">
        <v>1</v>
      </c>
      <c r="J25" s="13"/>
      <c r="K25" s="14">
        <f>I25+J25</f>
        <v>1</v>
      </c>
    </row>
    <row r="26" spans="1:11" ht="30">
      <c r="A26" s="201"/>
      <c r="B26" s="202"/>
      <c r="C26" s="196"/>
      <c r="D26" s="58" t="s">
        <v>2</v>
      </c>
      <c r="E26" s="209"/>
      <c r="F26" s="10">
        <f>6+6+3+3</f>
        <v>18</v>
      </c>
      <c r="G26" s="10">
        <f>4+4+7+2</f>
        <v>17</v>
      </c>
      <c r="H26" s="11">
        <f t="shared" ref="H26:H27" si="10">F26+G26</f>
        <v>35</v>
      </c>
      <c r="I26" s="13">
        <v>1</v>
      </c>
      <c r="J26" s="13"/>
      <c r="K26" s="14">
        <f t="shared" ref="K26:K27" si="11">I26+J26</f>
        <v>1</v>
      </c>
    </row>
    <row r="27" spans="1:11">
      <c r="A27" s="201"/>
      <c r="B27" s="202"/>
      <c r="C27" s="196"/>
      <c r="D27" s="37" t="s">
        <v>6</v>
      </c>
      <c r="E27" s="209"/>
      <c r="F27" s="10">
        <v>7</v>
      </c>
      <c r="G27" s="10">
        <v>13</v>
      </c>
      <c r="H27" s="11">
        <f t="shared" si="10"/>
        <v>20</v>
      </c>
      <c r="I27" s="13">
        <v>1</v>
      </c>
      <c r="J27" s="13"/>
      <c r="K27" s="14">
        <f t="shared" si="11"/>
        <v>1</v>
      </c>
    </row>
    <row r="28" spans="1:11" s="77" customFormat="1">
      <c r="A28" s="222" t="s">
        <v>26</v>
      </c>
      <c r="B28" s="223"/>
      <c r="C28" s="223"/>
      <c r="D28" s="223"/>
      <c r="E28" s="76">
        <f>E25</f>
        <v>1</v>
      </c>
      <c r="F28" s="76">
        <f>SUM(F25:F27)</f>
        <v>35</v>
      </c>
      <c r="G28" s="76">
        <f t="shared" ref="G28:H28" si="12">SUM(G25:G27)</f>
        <v>34</v>
      </c>
      <c r="H28" s="76">
        <f t="shared" si="12"/>
        <v>69</v>
      </c>
      <c r="I28" s="76">
        <f>SUM(I25:I27)</f>
        <v>3</v>
      </c>
      <c r="J28" s="76">
        <f t="shared" ref="J28:K28" si="13">SUM(J25:J27)</f>
        <v>0</v>
      </c>
      <c r="K28" s="76">
        <f t="shared" si="13"/>
        <v>3</v>
      </c>
    </row>
    <row r="29" spans="1:11" ht="33" customHeight="1">
      <c r="A29" s="220" t="s">
        <v>70</v>
      </c>
      <c r="B29" s="218" t="s">
        <v>71</v>
      </c>
      <c r="C29" s="196" t="s">
        <v>72</v>
      </c>
      <c r="D29" s="58" t="s">
        <v>9</v>
      </c>
      <c r="E29" s="209">
        <v>1</v>
      </c>
      <c r="F29" s="10">
        <f>6+3+4+3</f>
        <v>16</v>
      </c>
      <c r="G29" s="10">
        <f>4+7+6+3</f>
        <v>20</v>
      </c>
      <c r="H29" s="11">
        <f>F29+G29</f>
        <v>36</v>
      </c>
      <c r="I29" s="13">
        <v>1</v>
      </c>
      <c r="J29" s="13"/>
      <c r="K29" s="14">
        <f>I29+J29</f>
        <v>1</v>
      </c>
    </row>
    <row r="30" spans="1:11" ht="31.9" customHeight="1">
      <c r="A30" s="201"/>
      <c r="B30" s="202"/>
      <c r="C30" s="196"/>
      <c r="D30" s="58" t="s">
        <v>2</v>
      </c>
      <c r="E30" s="209"/>
      <c r="F30" s="10">
        <f>2+8</f>
        <v>10</v>
      </c>
      <c r="G30" s="10">
        <f>1+3</f>
        <v>4</v>
      </c>
      <c r="H30" s="11">
        <f t="shared" ref="H30:H32" si="14">F30+G30</f>
        <v>14</v>
      </c>
      <c r="I30" s="13">
        <v>1</v>
      </c>
      <c r="J30" s="13"/>
      <c r="K30" s="14">
        <f t="shared" ref="K30:K33" si="15">I30+J30</f>
        <v>1</v>
      </c>
    </row>
    <row r="31" spans="1:11" ht="31.9" customHeight="1">
      <c r="A31" s="201"/>
      <c r="B31" s="202"/>
      <c r="C31" s="196"/>
      <c r="D31" s="37" t="s">
        <v>6</v>
      </c>
      <c r="E31" s="209"/>
      <c r="F31" s="10">
        <v>0</v>
      </c>
      <c r="G31" s="10">
        <v>7</v>
      </c>
      <c r="H31" s="11">
        <f t="shared" si="14"/>
        <v>7</v>
      </c>
      <c r="I31" s="13">
        <v>1</v>
      </c>
      <c r="J31" s="13"/>
      <c r="K31" s="14">
        <f t="shared" si="15"/>
        <v>1</v>
      </c>
    </row>
    <row r="32" spans="1:11" ht="31.9" customHeight="1">
      <c r="A32" s="201"/>
      <c r="B32" s="202"/>
      <c r="C32" s="196"/>
      <c r="D32" s="51" t="s">
        <v>3</v>
      </c>
      <c r="E32" s="209"/>
      <c r="F32" s="10">
        <f>2+1</f>
        <v>3</v>
      </c>
      <c r="G32" s="10">
        <f>1+4</f>
        <v>5</v>
      </c>
      <c r="H32" s="11">
        <f t="shared" si="14"/>
        <v>8</v>
      </c>
      <c r="I32" s="13">
        <v>1</v>
      </c>
      <c r="J32" s="13"/>
      <c r="K32" s="14">
        <f t="shared" si="15"/>
        <v>1</v>
      </c>
    </row>
    <row r="33" spans="1:11" ht="37.9" customHeight="1">
      <c r="A33" s="201"/>
      <c r="B33" s="202"/>
      <c r="C33" s="196"/>
      <c r="D33" s="52" t="s">
        <v>59</v>
      </c>
      <c r="E33" s="209"/>
      <c r="F33" s="10">
        <f>6+1+1</f>
        <v>8</v>
      </c>
      <c r="G33" s="10">
        <f>4+9+4</f>
        <v>17</v>
      </c>
      <c r="H33" s="11">
        <f t="shared" ref="H33" si="16">F33+G33</f>
        <v>25</v>
      </c>
      <c r="I33" s="13">
        <v>1</v>
      </c>
      <c r="J33" s="13"/>
      <c r="K33" s="14">
        <f t="shared" si="15"/>
        <v>1</v>
      </c>
    </row>
    <row r="34" spans="1:11" s="77" customFormat="1">
      <c r="A34" s="222" t="s">
        <v>26</v>
      </c>
      <c r="B34" s="223"/>
      <c r="C34" s="223"/>
      <c r="D34" s="223"/>
      <c r="E34" s="76">
        <f>E29</f>
        <v>1</v>
      </c>
      <c r="F34" s="76">
        <f>SUM(F29:F33)</f>
        <v>37</v>
      </c>
      <c r="G34" s="76">
        <f t="shared" ref="G34:H34" si="17">SUM(G29:G33)</f>
        <v>53</v>
      </c>
      <c r="H34" s="76">
        <f t="shared" si="17"/>
        <v>90</v>
      </c>
      <c r="I34" s="76">
        <f>SUM(I29:I33)</f>
        <v>5</v>
      </c>
      <c r="J34" s="76">
        <f t="shared" ref="J34:K34" si="18">SUM(J29:J33)</f>
        <v>0</v>
      </c>
      <c r="K34" s="76">
        <f t="shared" si="18"/>
        <v>5</v>
      </c>
    </row>
    <row r="35" spans="1:11" ht="27" customHeight="1">
      <c r="A35" s="220" t="s">
        <v>78</v>
      </c>
      <c r="B35" s="218">
        <v>45827</v>
      </c>
      <c r="C35" s="196" t="s">
        <v>79</v>
      </c>
      <c r="D35" s="69" t="s">
        <v>9</v>
      </c>
      <c r="E35" s="209">
        <v>1</v>
      </c>
      <c r="F35" s="10">
        <v>5</v>
      </c>
      <c r="G35" s="10">
        <v>1</v>
      </c>
      <c r="H35" s="11">
        <f>F35+G35</f>
        <v>6</v>
      </c>
      <c r="I35" s="13">
        <v>1</v>
      </c>
      <c r="J35" s="13"/>
      <c r="K35" s="14">
        <f>I35+J35</f>
        <v>1</v>
      </c>
    </row>
    <row r="36" spans="1:11" ht="30.6" customHeight="1">
      <c r="A36" s="201"/>
      <c r="B36" s="202"/>
      <c r="C36" s="196"/>
      <c r="D36" s="69" t="s">
        <v>2</v>
      </c>
      <c r="E36" s="209"/>
      <c r="F36" s="10">
        <v>4</v>
      </c>
      <c r="G36" s="10">
        <v>2</v>
      </c>
      <c r="H36" s="11">
        <f t="shared" ref="H36" si="19">F36+G36</f>
        <v>6</v>
      </c>
      <c r="I36" s="13">
        <v>1</v>
      </c>
      <c r="J36" s="13"/>
      <c r="K36" s="14">
        <f t="shared" ref="K36" si="20">I36+J36</f>
        <v>1</v>
      </c>
    </row>
    <row r="37" spans="1:11" s="77" customFormat="1">
      <c r="A37" s="222" t="s">
        <v>26</v>
      </c>
      <c r="B37" s="223"/>
      <c r="C37" s="223"/>
      <c r="D37" s="223"/>
      <c r="E37" s="76">
        <f>E35</f>
        <v>1</v>
      </c>
      <c r="F37" s="76">
        <f>SUM(F35:F36)</f>
        <v>9</v>
      </c>
      <c r="G37" s="76">
        <f t="shared" ref="G37:H37" si="21">SUM(G35:G36)</f>
        <v>3</v>
      </c>
      <c r="H37" s="76">
        <f t="shared" si="21"/>
        <v>12</v>
      </c>
      <c r="I37" s="76">
        <f t="shared" ref="I37:K37" si="22">SUM(I35:I36)</f>
        <v>2</v>
      </c>
      <c r="J37" s="76">
        <f t="shared" si="22"/>
        <v>0</v>
      </c>
      <c r="K37" s="76">
        <f t="shared" si="22"/>
        <v>2</v>
      </c>
    </row>
    <row r="38" spans="1:11" ht="45">
      <c r="A38" s="64" t="s">
        <v>73</v>
      </c>
      <c r="B38" s="71" t="s">
        <v>74</v>
      </c>
      <c r="C38" s="61" t="s">
        <v>75</v>
      </c>
      <c r="D38" s="69" t="s">
        <v>9</v>
      </c>
      <c r="E38" s="72">
        <v>1</v>
      </c>
      <c r="F38" s="10">
        <v>12</v>
      </c>
      <c r="G38" s="10">
        <v>3</v>
      </c>
      <c r="H38" s="11">
        <f>F38+G38</f>
        <v>15</v>
      </c>
      <c r="I38" s="13">
        <v>1</v>
      </c>
      <c r="J38" s="13"/>
      <c r="K38" s="14">
        <f>I38+J38</f>
        <v>1</v>
      </c>
    </row>
    <row r="39" spans="1:11" s="77" customFormat="1">
      <c r="A39" s="222" t="s">
        <v>26</v>
      </c>
      <c r="B39" s="223"/>
      <c r="C39" s="223"/>
      <c r="D39" s="223"/>
      <c r="E39" s="76">
        <f>E38</f>
        <v>1</v>
      </c>
      <c r="F39" s="76">
        <f>F38</f>
        <v>12</v>
      </c>
      <c r="G39" s="76">
        <f t="shared" ref="G39:H39" si="23">G38</f>
        <v>3</v>
      </c>
      <c r="H39" s="76">
        <f t="shared" si="23"/>
        <v>15</v>
      </c>
      <c r="I39" s="76">
        <f t="shared" ref="I39:K39" si="24">SUM(I38:I38)</f>
        <v>1</v>
      </c>
      <c r="J39" s="76">
        <f t="shared" si="24"/>
        <v>0</v>
      </c>
      <c r="K39" s="76">
        <f t="shared" si="24"/>
        <v>1</v>
      </c>
    </row>
    <row r="40" spans="1:11">
      <c r="A40" s="224" t="s">
        <v>81</v>
      </c>
      <c r="B40" s="218">
        <v>45829</v>
      </c>
      <c r="C40" s="224" t="s">
        <v>82</v>
      </c>
      <c r="D40" s="70" t="s">
        <v>80</v>
      </c>
      <c r="E40" s="209">
        <v>1</v>
      </c>
      <c r="F40" s="10">
        <v>4</v>
      </c>
      <c r="G40" s="10">
        <v>10</v>
      </c>
      <c r="H40" s="11">
        <f>F40+G40</f>
        <v>14</v>
      </c>
      <c r="I40" s="13">
        <v>1</v>
      </c>
      <c r="J40" s="13"/>
      <c r="K40" s="14">
        <f>I40+J40</f>
        <v>1</v>
      </c>
    </row>
    <row r="41" spans="1:11">
      <c r="A41" s="201"/>
      <c r="B41" s="202"/>
      <c r="C41" s="196"/>
      <c r="D41" s="113" t="s">
        <v>51</v>
      </c>
      <c r="E41" s="209"/>
      <c r="F41" s="10">
        <v>1</v>
      </c>
      <c r="G41" s="10">
        <v>5</v>
      </c>
      <c r="H41" s="11">
        <f t="shared" ref="H41:H42" si="25">F41+G41</f>
        <v>6</v>
      </c>
      <c r="I41" s="13">
        <v>1</v>
      </c>
      <c r="J41" s="13"/>
      <c r="K41" s="14">
        <f t="shared" ref="K41:K42" si="26">I41+J41</f>
        <v>1</v>
      </c>
    </row>
    <row r="42" spans="1:11" ht="30">
      <c r="A42" s="201"/>
      <c r="B42" s="202"/>
      <c r="C42" s="196"/>
      <c r="D42" s="70" t="s">
        <v>9</v>
      </c>
      <c r="E42" s="209"/>
      <c r="F42" s="10">
        <v>0</v>
      </c>
      <c r="G42" s="10">
        <v>0</v>
      </c>
      <c r="H42" s="11">
        <f t="shared" si="25"/>
        <v>0</v>
      </c>
      <c r="I42" s="13">
        <v>1</v>
      </c>
      <c r="J42" s="13"/>
      <c r="K42" s="14">
        <f t="shared" si="26"/>
        <v>1</v>
      </c>
    </row>
    <row r="43" spans="1:11" s="77" customFormat="1">
      <c r="A43" s="222" t="s">
        <v>26</v>
      </c>
      <c r="B43" s="223"/>
      <c r="C43" s="223"/>
      <c r="D43" s="223"/>
      <c r="E43" s="76">
        <f>E40</f>
        <v>1</v>
      </c>
      <c r="F43" s="76">
        <f>SUM(F40:F42)</f>
        <v>5</v>
      </c>
      <c r="G43" s="76">
        <f t="shared" ref="G43:H43" si="27">SUM(G40:G42)</f>
        <v>15</v>
      </c>
      <c r="H43" s="76">
        <f t="shared" si="27"/>
        <v>20</v>
      </c>
      <c r="I43" s="76">
        <f>SUM(I40:I42)</f>
        <v>3</v>
      </c>
      <c r="J43" s="76">
        <f t="shared" ref="J43:K43" si="28">SUM(J40:J42)</f>
        <v>0</v>
      </c>
      <c r="K43" s="76">
        <f t="shared" si="28"/>
        <v>3</v>
      </c>
    </row>
    <row r="44" spans="1:11" ht="30">
      <c r="A44" s="220" t="s">
        <v>76</v>
      </c>
      <c r="B44" s="218">
        <v>45831</v>
      </c>
      <c r="C44" s="196" t="s">
        <v>77</v>
      </c>
      <c r="D44" s="69" t="s">
        <v>2</v>
      </c>
      <c r="E44" s="225">
        <v>1</v>
      </c>
      <c r="F44" s="75">
        <f>4+4+5+9</f>
        <v>22</v>
      </c>
      <c r="G44" s="75">
        <f>3+1+5+1</f>
        <v>10</v>
      </c>
      <c r="H44" s="11">
        <f>F44+G44</f>
        <v>32</v>
      </c>
      <c r="I44" s="13">
        <v>1</v>
      </c>
      <c r="J44" s="13"/>
      <c r="K44" s="14">
        <f>I44+J44</f>
        <v>1</v>
      </c>
    </row>
    <row r="45" spans="1:11">
      <c r="A45" s="201"/>
      <c r="B45" s="202"/>
      <c r="C45" s="196"/>
      <c r="D45" s="69" t="s">
        <v>3</v>
      </c>
      <c r="E45" s="225"/>
      <c r="F45" s="75">
        <f>3+7+2+2</f>
        <v>14</v>
      </c>
      <c r="G45" s="75">
        <f>7+3+6+1</f>
        <v>17</v>
      </c>
      <c r="H45" s="11">
        <f t="shared" ref="H45:H47" si="29">F45+G45</f>
        <v>31</v>
      </c>
      <c r="I45" s="13">
        <v>1</v>
      </c>
      <c r="J45" s="13"/>
      <c r="K45" s="14">
        <f t="shared" ref="K45:K47" si="30">I45+J45</f>
        <v>1</v>
      </c>
    </row>
    <row r="46" spans="1:11" ht="30">
      <c r="A46" s="201"/>
      <c r="B46" s="202"/>
      <c r="C46" s="196"/>
      <c r="D46" s="73" t="s">
        <v>9</v>
      </c>
      <c r="E46" s="225"/>
      <c r="F46" s="75">
        <f>7+5+3</f>
        <v>15</v>
      </c>
      <c r="G46" s="75">
        <f>1+5+7</f>
        <v>13</v>
      </c>
      <c r="H46" s="11">
        <f t="shared" si="29"/>
        <v>28</v>
      </c>
      <c r="I46" s="13">
        <v>1</v>
      </c>
      <c r="J46" s="13"/>
      <c r="K46" s="14">
        <f t="shared" si="30"/>
        <v>1</v>
      </c>
    </row>
    <row r="47" spans="1:11" s="7" customFormat="1" ht="15.6" customHeight="1">
      <c r="A47" s="201"/>
      <c r="B47" s="202"/>
      <c r="C47" s="196"/>
      <c r="D47" s="73" t="s">
        <v>83</v>
      </c>
      <c r="E47" s="225"/>
      <c r="F47" s="75">
        <v>0</v>
      </c>
      <c r="G47" s="75">
        <v>0</v>
      </c>
      <c r="H47" s="11">
        <f t="shared" si="29"/>
        <v>0</v>
      </c>
      <c r="I47" s="74">
        <v>1</v>
      </c>
      <c r="J47" s="74"/>
      <c r="K47" s="68">
        <f t="shared" si="30"/>
        <v>1</v>
      </c>
    </row>
    <row r="48" spans="1:11" s="77" customFormat="1">
      <c r="A48" s="222" t="s">
        <v>26</v>
      </c>
      <c r="B48" s="223"/>
      <c r="C48" s="223"/>
      <c r="D48" s="223"/>
      <c r="E48" s="76">
        <f>E44</f>
        <v>1</v>
      </c>
      <c r="F48" s="76">
        <f>SUM(F44:F47)</f>
        <v>51</v>
      </c>
      <c r="G48" s="76">
        <f t="shared" ref="G48:H48" si="31">SUM(G44:G47)</f>
        <v>40</v>
      </c>
      <c r="H48" s="76">
        <f t="shared" si="31"/>
        <v>91</v>
      </c>
      <c r="I48" s="76">
        <f>SUM(I44:I47)</f>
        <v>4</v>
      </c>
      <c r="J48" s="76">
        <f t="shared" ref="J48:K48" si="32">SUM(J44:J47)</f>
        <v>0</v>
      </c>
      <c r="K48" s="76">
        <f t="shared" si="32"/>
        <v>4</v>
      </c>
    </row>
    <row r="49" spans="1:11" s="7" customFormat="1">
      <c r="A49" s="166" t="s">
        <v>25</v>
      </c>
      <c r="B49" s="167"/>
      <c r="C49" s="167"/>
      <c r="D49" s="167"/>
      <c r="E49" s="67">
        <f>E48+E43+E39+E37+E34+E28+E24+E20+E18</f>
        <v>9</v>
      </c>
      <c r="F49" s="67">
        <f t="shared" ref="F49:H49" si="33">F48+F43+F39+F37+F34+F28+F24+F20+F18</f>
        <v>188</v>
      </c>
      <c r="G49" s="67">
        <f t="shared" si="33"/>
        <v>205</v>
      </c>
      <c r="H49" s="67">
        <f t="shared" si="33"/>
        <v>393</v>
      </c>
      <c r="I49" s="67">
        <f t="shared" ref="I49" si="34">I48+I43+I39+I37+I34+I28+I24+I20+I18</f>
        <v>25</v>
      </c>
      <c r="J49" s="67">
        <f t="shared" ref="J49" si="35">J48+J43+J39+J37+J34+J28+J24+J20+J18</f>
        <v>0</v>
      </c>
      <c r="K49" s="67">
        <f t="shared" ref="K49" si="36">K48+K43+K39+K37+K34+K28+K24+K20+K18</f>
        <v>25</v>
      </c>
    </row>
    <row r="51" spans="1:11">
      <c r="A51" s="26" t="s">
        <v>29</v>
      </c>
      <c r="E51" s="29" t="s">
        <v>32</v>
      </c>
    </row>
    <row r="55" spans="1:11" s="25" customFormat="1">
      <c r="A55" s="27" t="s">
        <v>30</v>
      </c>
      <c r="B55" s="30"/>
      <c r="C55" s="31"/>
      <c r="D55" s="31"/>
      <c r="E55" s="32" t="s">
        <v>33</v>
      </c>
      <c r="F55" s="31"/>
      <c r="G55" s="31"/>
      <c r="H55" s="31"/>
      <c r="I55" s="31"/>
      <c r="J55" s="31"/>
      <c r="K55" s="31"/>
    </row>
    <row r="56" spans="1:11" s="36" customFormat="1" ht="12.75">
      <c r="A56" s="28" t="s">
        <v>31</v>
      </c>
      <c r="B56" s="33"/>
      <c r="C56" s="34"/>
      <c r="D56" s="34"/>
      <c r="E56" s="35" t="s">
        <v>34</v>
      </c>
      <c r="F56" s="34"/>
      <c r="G56" s="34"/>
      <c r="H56" s="34"/>
      <c r="I56" s="34"/>
      <c r="J56" s="34"/>
      <c r="K56" s="34"/>
    </row>
  </sheetData>
  <mergeCells count="47">
    <mergeCell ref="E44:E47"/>
    <mergeCell ref="A48:D48"/>
    <mergeCell ref="E35:E36"/>
    <mergeCell ref="A37:D37"/>
    <mergeCell ref="E40:E42"/>
    <mergeCell ref="A49:D49"/>
    <mergeCell ref="A28:D28"/>
    <mergeCell ref="A29:A33"/>
    <mergeCell ref="B29:B33"/>
    <mergeCell ref="C29:C33"/>
    <mergeCell ref="A35:A36"/>
    <mergeCell ref="B35:B36"/>
    <mergeCell ref="C35:C36"/>
    <mergeCell ref="A39:D39"/>
    <mergeCell ref="A44:A47"/>
    <mergeCell ref="B44:B47"/>
    <mergeCell ref="C44:C47"/>
    <mergeCell ref="A40:A42"/>
    <mergeCell ref="B40:B42"/>
    <mergeCell ref="C40:C42"/>
    <mergeCell ref="A43:D43"/>
    <mergeCell ref="E29:E33"/>
    <mergeCell ref="A34:D34"/>
    <mergeCell ref="A24:D24"/>
    <mergeCell ref="A25:A27"/>
    <mergeCell ref="B25:B27"/>
    <mergeCell ref="C25:C27"/>
    <mergeCell ref="E25:E27"/>
    <mergeCell ref="A21:A23"/>
    <mergeCell ref="B21:B23"/>
    <mergeCell ref="C21:C23"/>
    <mergeCell ref="E21:E23"/>
    <mergeCell ref="A15:A17"/>
    <mergeCell ref="B15:B17"/>
    <mergeCell ref="C15:C17"/>
    <mergeCell ref="E15:E17"/>
    <mergeCell ref="A18:D18"/>
    <mergeCell ref="A20:D20"/>
    <mergeCell ref="A10:K10"/>
    <mergeCell ref="A11:K11"/>
    <mergeCell ref="A13:A14"/>
    <mergeCell ref="B13:B14"/>
    <mergeCell ref="C13:C14"/>
    <mergeCell ref="D13:D14"/>
    <mergeCell ref="E13:E14"/>
    <mergeCell ref="F13:H13"/>
    <mergeCell ref="I13:K13"/>
  </mergeCells>
  <pageMargins left="0.61" right="0.59" top="0.25" bottom="0.32" header="0.15" footer="0.31496062992125984"/>
  <pageSetup paperSize="9" scale="71" fitToHeight="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CFD50-5E5B-43FA-8D0A-CB41ECE3E434}">
  <sheetPr>
    <pageSetUpPr fitToPage="1"/>
  </sheetPr>
  <dimension ref="A10:L37"/>
  <sheetViews>
    <sheetView topLeftCell="A13" zoomScale="99" zoomScaleNormal="99" workbookViewId="0">
      <pane xSplit="2" ySplit="2" topLeftCell="C22" activePane="bottomRight" state="frozen"/>
      <selection activeCell="A13" sqref="A13"/>
      <selection pane="topRight" activeCell="C13" sqref="C13"/>
      <selection pane="bottomLeft" activeCell="A15" sqref="A15"/>
      <selection pane="bottomRight" activeCell="D23" sqref="D23"/>
    </sheetView>
  </sheetViews>
  <sheetFormatPr defaultColWidth="8.85546875" defaultRowHeight="15"/>
  <cols>
    <col min="1" max="1" width="32.28515625" style="4" customWidth="1"/>
    <col min="2" max="2" width="17.7109375" style="2" customWidth="1"/>
    <col min="3" max="3" width="23.28515625" style="1" customWidth="1"/>
    <col min="4" max="4" width="37" style="1" customWidth="1"/>
    <col min="5" max="5" width="16" style="3" customWidth="1"/>
    <col min="6" max="6" width="9" style="1" customWidth="1"/>
    <col min="7" max="7" width="8.7109375" style="1" customWidth="1"/>
    <col min="8" max="8" width="9.7109375" style="1" customWidth="1"/>
    <col min="9" max="9" width="16.7109375" style="1" customWidth="1"/>
    <col min="10" max="10" width="12.28515625" style="1" customWidth="1"/>
    <col min="11" max="11" width="11.28515625" style="1" customWidth="1"/>
    <col min="12" max="12" width="29.7109375" style="1" customWidth="1"/>
    <col min="13" max="16384" width="8.85546875" style="4"/>
  </cols>
  <sheetData>
    <row r="10" spans="1:12" ht="18.75">
      <c r="A10" s="159" t="s">
        <v>35</v>
      </c>
      <c r="B10" s="159"/>
      <c r="C10" s="159"/>
      <c r="D10" s="159"/>
      <c r="E10" s="159"/>
      <c r="F10" s="159"/>
      <c r="G10" s="159"/>
      <c r="H10" s="159"/>
      <c r="I10" s="159"/>
      <c r="J10" s="159"/>
      <c r="K10" s="159"/>
    </row>
    <row r="11" spans="1:12">
      <c r="A11" s="240" t="s">
        <v>84</v>
      </c>
      <c r="B11" s="161"/>
      <c r="C11" s="161"/>
      <c r="D11" s="161"/>
      <c r="E11" s="161"/>
      <c r="F11" s="161"/>
      <c r="G11" s="161"/>
      <c r="H11" s="161"/>
      <c r="I11" s="161"/>
      <c r="J11" s="161"/>
      <c r="K11" s="161"/>
    </row>
    <row r="13" spans="1:12" ht="52.15" customHeight="1">
      <c r="A13" s="241" t="s">
        <v>43</v>
      </c>
      <c r="B13" s="241" t="s">
        <v>23</v>
      </c>
      <c r="C13" s="241" t="s">
        <v>24</v>
      </c>
      <c r="D13" s="243" t="s">
        <v>0</v>
      </c>
      <c r="E13" s="245" t="s">
        <v>14</v>
      </c>
      <c r="F13" s="246" t="s">
        <v>15</v>
      </c>
      <c r="G13" s="246"/>
      <c r="H13" s="246"/>
      <c r="I13" s="247" t="s">
        <v>17</v>
      </c>
      <c r="J13" s="247"/>
      <c r="K13" s="247"/>
      <c r="L13" s="239" t="s">
        <v>1</v>
      </c>
    </row>
    <row r="14" spans="1:12" ht="57">
      <c r="A14" s="242"/>
      <c r="B14" s="242"/>
      <c r="C14" s="242"/>
      <c r="D14" s="244"/>
      <c r="E14" s="245"/>
      <c r="F14" s="82" t="s">
        <v>16</v>
      </c>
      <c r="G14" s="82" t="s">
        <v>13</v>
      </c>
      <c r="H14" s="82" t="s">
        <v>20</v>
      </c>
      <c r="I14" s="83" t="s">
        <v>18</v>
      </c>
      <c r="J14" s="83" t="s">
        <v>19</v>
      </c>
      <c r="K14" s="83" t="s">
        <v>20</v>
      </c>
      <c r="L14" s="239"/>
    </row>
    <row r="15" spans="1:12" ht="42.75">
      <c r="A15" s="84" t="s">
        <v>85</v>
      </c>
      <c r="B15" s="85">
        <v>45839</v>
      </c>
      <c r="C15" s="84" t="s">
        <v>87</v>
      </c>
      <c r="D15" s="86" t="s">
        <v>9</v>
      </c>
      <c r="E15" s="87">
        <v>1</v>
      </c>
      <c r="F15" s="88">
        <v>6</v>
      </c>
      <c r="G15" s="88">
        <v>1</v>
      </c>
      <c r="H15" s="89">
        <f>F15+G15</f>
        <v>7</v>
      </c>
      <c r="I15" s="90">
        <v>1</v>
      </c>
      <c r="J15" s="90"/>
      <c r="K15" s="91">
        <f>I15+J15</f>
        <v>1</v>
      </c>
      <c r="L15" s="92"/>
    </row>
    <row r="16" spans="1:12" s="77" customFormat="1">
      <c r="A16" s="228" t="s">
        <v>26</v>
      </c>
      <c r="B16" s="229"/>
      <c r="C16" s="229"/>
      <c r="D16" s="229"/>
      <c r="E16" s="93">
        <f t="shared" ref="E16:K16" si="0">SUM(E15:E15)</f>
        <v>1</v>
      </c>
      <c r="F16" s="93">
        <f t="shared" si="0"/>
        <v>6</v>
      </c>
      <c r="G16" s="93">
        <f t="shared" si="0"/>
        <v>1</v>
      </c>
      <c r="H16" s="93">
        <f t="shared" si="0"/>
        <v>7</v>
      </c>
      <c r="I16" s="93">
        <f t="shared" si="0"/>
        <v>1</v>
      </c>
      <c r="J16" s="93">
        <f t="shared" si="0"/>
        <v>0</v>
      </c>
      <c r="K16" s="93">
        <f t="shared" si="0"/>
        <v>1</v>
      </c>
      <c r="L16" s="94"/>
    </row>
    <row r="17" spans="1:12" ht="28.5">
      <c r="A17" s="232" t="s">
        <v>86</v>
      </c>
      <c r="B17" s="234">
        <v>45846</v>
      </c>
      <c r="C17" s="235" t="s">
        <v>88</v>
      </c>
      <c r="D17" s="95" t="s">
        <v>9</v>
      </c>
      <c r="E17" s="226">
        <v>1</v>
      </c>
      <c r="F17" s="88">
        <v>2</v>
      </c>
      <c r="G17" s="88">
        <v>1</v>
      </c>
      <c r="H17" s="89">
        <f>F17+G17</f>
        <v>3</v>
      </c>
      <c r="I17" s="90">
        <v>1</v>
      </c>
      <c r="J17" s="90"/>
      <c r="K17" s="91">
        <f>I17+J17</f>
        <v>1</v>
      </c>
      <c r="L17" s="92"/>
    </row>
    <row r="18" spans="1:12" ht="28.5">
      <c r="A18" s="233"/>
      <c r="B18" s="234"/>
      <c r="C18" s="236"/>
      <c r="D18" s="95" t="s">
        <v>2</v>
      </c>
      <c r="E18" s="227"/>
      <c r="F18" s="88">
        <v>2</v>
      </c>
      <c r="G18" s="88">
        <v>2</v>
      </c>
      <c r="H18" s="89">
        <f>F18+G18</f>
        <v>4</v>
      </c>
      <c r="I18" s="90">
        <v>1</v>
      </c>
      <c r="J18" s="90"/>
      <c r="K18" s="91">
        <f>I18+J18</f>
        <v>1</v>
      </c>
      <c r="L18" s="92"/>
    </row>
    <row r="19" spans="1:12" s="77" customFormat="1">
      <c r="A19" s="228" t="s">
        <v>26</v>
      </c>
      <c r="B19" s="229"/>
      <c r="C19" s="229"/>
      <c r="D19" s="229"/>
      <c r="E19" s="93">
        <f t="shared" ref="E19" si="1">SUM(E17:E17)</f>
        <v>1</v>
      </c>
      <c r="F19" s="93">
        <f>SUM(F17:F18)</f>
        <v>4</v>
      </c>
      <c r="G19" s="93">
        <f t="shared" ref="G19:K19" si="2">SUM(G17:G18)</f>
        <v>3</v>
      </c>
      <c r="H19" s="93">
        <f t="shared" si="2"/>
        <v>7</v>
      </c>
      <c r="I19" s="93">
        <f t="shared" si="2"/>
        <v>2</v>
      </c>
      <c r="J19" s="93">
        <f t="shared" si="2"/>
        <v>0</v>
      </c>
      <c r="K19" s="93">
        <f t="shared" si="2"/>
        <v>2</v>
      </c>
      <c r="L19" s="94"/>
    </row>
    <row r="20" spans="1:12" ht="28.5">
      <c r="A20" s="237" t="s">
        <v>89</v>
      </c>
      <c r="B20" s="234">
        <v>45860</v>
      </c>
      <c r="C20" s="237" t="s">
        <v>90</v>
      </c>
      <c r="D20" s="95" t="s">
        <v>9</v>
      </c>
      <c r="E20" s="238">
        <v>1</v>
      </c>
      <c r="F20" s="88">
        <v>17</v>
      </c>
      <c r="G20" s="88">
        <v>5</v>
      </c>
      <c r="H20" s="89">
        <f>F20+G20</f>
        <v>22</v>
      </c>
      <c r="I20" s="90">
        <v>1</v>
      </c>
      <c r="J20" s="90"/>
      <c r="K20" s="91">
        <f>I20+J20</f>
        <v>1</v>
      </c>
      <c r="L20" s="92"/>
    </row>
    <row r="21" spans="1:12" ht="28.5">
      <c r="A21" s="237"/>
      <c r="B21" s="234"/>
      <c r="C21" s="237"/>
      <c r="D21" s="95" t="s">
        <v>2</v>
      </c>
      <c r="E21" s="238"/>
      <c r="F21" s="88">
        <v>27</v>
      </c>
      <c r="G21" s="88">
        <v>14</v>
      </c>
      <c r="H21" s="89">
        <f t="shared" ref="H21" si="3">F21+G21</f>
        <v>41</v>
      </c>
      <c r="I21" s="90">
        <v>1</v>
      </c>
      <c r="J21" s="90"/>
      <c r="K21" s="91">
        <f t="shared" ref="K21" si="4">I21+J21</f>
        <v>1</v>
      </c>
      <c r="L21" s="92"/>
    </row>
    <row r="22" spans="1:12" s="77" customFormat="1">
      <c r="A22" s="228" t="s">
        <v>26</v>
      </c>
      <c r="B22" s="229"/>
      <c r="C22" s="229"/>
      <c r="D22" s="229"/>
      <c r="E22" s="93">
        <f>E20</f>
        <v>1</v>
      </c>
      <c r="F22" s="93">
        <f t="shared" ref="F22:K22" si="5">SUM(F20:F21)</f>
        <v>44</v>
      </c>
      <c r="G22" s="93">
        <f t="shared" si="5"/>
        <v>19</v>
      </c>
      <c r="H22" s="93">
        <f t="shared" si="5"/>
        <v>63</v>
      </c>
      <c r="I22" s="93">
        <f t="shared" si="5"/>
        <v>2</v>
      </c>
      <c r="J22" s="93">
        <f t="shared" si="5"/>
        <v>0</v>
      </c>
      <c r="K22" s="93">
        <f t="shared" si="5"/>
        <v>2</v>
      </c>
      <c r="L22" s="96"/>
    </row>
    <row r="23" spans="1:12" ht="25.15" customHeight="1">
      <c r="A23" s="237" t="s">
        <v>95</v>
      </c>
      <c r="B23" s="234">
        <v>45868</v>
      </c>
      <c r="C23" s="237" t="s">
        <v>5</v>
      </c>
      <c r="D23" s="86" t="s">
        <v>51</v>
      </c>
      <c r="E23" s="238">
        <v>1</v>
      </c>
      <c r="F23" s="88">
        <v>0</v>
      </c>
      <c r="G23" s="88">
        <v>2</v>
      </c>
      <c r="H23" s="89">
        <f>F23+G23</f>
        <v>2</v>
      </c>
      <c r="I23" s="90">
        <v>1</v>
      </c>
      <c r="J23" s="90"/>
      <c r="K23" s="91">
        <f>I23+J23</f>
        <v>1</v>
      </c>
      <c r="L23" s="97"/>
    </row>
    <row r="24" spans="1:12" ht="30" customHeight="1">
      <c r="A24" s="237"/>
      <c r="B24" s="234"/>
      <c r="C24" s="237"/>
      <c r="D24" s="86" t="s">
        <v>9</v>
      </c>
      <c r="E24" s="238"/>
      <c r="F24" s="88">
        <v>2</v>
      </c>
      <c r="G24" s="88">
        <v>7</v>
      </c>
      <c r="H24" s="89">
        <f t="shared" ref="H24:H25" si="6">F24+G24</f>
        <v>9</v>
      </c>
      <c r="I24" s="90">
        <v>1</v>
      </c>
      <c r="J24" s="90"/>
      <c r="K24" s="91">
        <f t="shared" ref="K24:K25" si="7">I24+J24</f>
        <v>1</v>
      </c>
      <c r="L24" s="97"/>
    </row>
    <row r="25" spans="1:12" ht="30" customHeight="1">
      <c r="A25" s="237"/>
      <c r="B25" s="234"/>
      <c r="C25" s="237"/>
      <c r="D25" s="86" t="s">
        <v>2</v>
      </c>
      <c r="E25" s="238"/>
      <c r="F25" s="88">
        <v>2</v>
      </c>
      <c r="G25" s="88">
        <v>2</v>
      </c>
      <c r="H25" s="89">
        <f t="shared" si="6"/>
        <v>4</v>
      </c>
      <c r="I25" s="90">
        <v>1</v>
      </c>
      <c r="J25" s="90"/>
      <c r="K25" s="91">
        <f t="shared" si="7"/>
        <v>1</v>
      </c>
      <c r="L25" s="97"/>
    </row>
    <row r="26" spans="1:12" ht="28.5">
      <c r="A26" s="237"/>
      <c r="B26" s="234"/>
      <c r="C26" s="237"/>
      <c r="D26" s="86" t="s">
        <v>6</v>
      </c>
      <c r="E26" s="238"/>
      <c r="F26" s="88">
        <v>8</v>
      </c>
      <c r="G26" s="88">
        <v>12</v>
      </c>
      <c r="H26" s="89">
        <f t="shared" ref="H26" si="8">F26+G26</f>
        <v>20</v>
      </c>
      <c r="I26" s="90">
        <v>1</v>
      </c>
      <c r="J26" s="90"/>
      <c r="K26" s="91">
        <f t="shared" ref="K26" si="9">I26+J26</f>
        <v>1</v>
      </c>
      <c r="L26" s="97"/>
    </row>
    <row r="27" spans="1:12" s="77" customFormat="1">
      <c r="A27" s="228" t="s">
        <v>26</v>
      </c>
      <c r="B27" s="229"/>
      <c r="C27" s="229"/>
      <c r="D27" s="229"/>
      <c r="E27" s="93">
        <f>E23</f>
        <v>1</v>
      </c>
      <c r="F27" s="93">
        <f>SUM(F23:F26)</f>
        <v>12</v>
      </c>
      <c r="G27" s="93">
        <f t="shared" ref="G27:H27" si="10">SUM(G23:G26)</f>
        <v>23</v>
      </c>
      <c r="H27" s="93">
        <f t="shared" si="10"/>
        <v>35</v>
      </c>
      <c r="I27" s="93">
        <f>SUM(I23:I26)</f>
        <v>4</v>
      </c>
      <c r="J27" s="93">
        <f t="shared" ref="J27:K27" si="11">SUM(J23:J26)</f>
        <v>0</v>
      </c>
      <c r="K27" s="93">
        <f t="shared" si="11"/>
        <v>4</v>
      </c>
      <c r="L27" s="96"/>
    </row>
    <row r="28" spans="1:12" s="7" customFormat="1">
      <c r="A28" s="230" t="s">
        <v>25</v>
      </c>
      <c r="B28" s="231"/>
      <c r="C28" s="231"/>
      <c r="D28" s="231"/>
      <c r="E28" s="98">
        <f>E27+E22+E19+E16</f>
        <v>4</v>
      </c>
      <c r="F28" s="98">
        <f t="shared" ref="F28:K28" si="12">F27+F22+F19+F16</f>
        <v>66</v>
      </c>
      <c r="G28" s="98">
        <f t="shared" si="12"/>
        <v>46</v>
      </c>
      <c r="H28" s="98">
        <f t="shared" si="12"/>
        <v>112</v>
      </c>
      <c r="I28" s="98">
        <f t="shared" si="12"/>
        <v>9</v>
      </c>
      <c r="J28" s="98">
        <f t="shared" si="12"/>
        <v>0</v>
      </c>
      <c r="K28" s="98">
        <f t="shared" si="12"/>
        <v>9</v>
      </c>
      <c r="L28" s="99"/>
    </row>
    <row r="30" spans="1:12" s="81" customFormat="1" ht="14.25">
      <c r="A30" s="81" t="s">
        <v>29</v>
      </c>
      <c r="B30" s="100"/>
      <c r="C30" s="80"/>
      <c r="D30" s="80"/>
      <c r="E30" s="101" t="s">
        <v>32</v>
      </c>
      <c r="F30" s="80"/>
      <c r="G30" s="80"/>
      <c r="H30" s="80"/>
      <c r="I30" s="80"/>
      <c r="J30" s="80"/>
      <c r="K30" s="80"/>
      <c r="L30" s="80"/>
    </row>
    <row r="31" spans="1:12" s="81" customFormat="1" ht="14.25">
      <c r="B31" s="100"/>
      <c r="C31" s="80"/>
      <c r="D31" s="80"/>
      <c r="E31" s="112"/>
      <c r="F31" s="80"/>
      <c r="G31" s="80"/>
      <c r="H31" s="80"/>
      <c r="I31" s="80"/>
      <c r="J31" s="80"/>
      <c r="K31" s="80"/>
      <c r="L31" s="80"/>
    </row>
    <row r="32" spans="1:12" s="81" customFormat="1" ht="14.25">
      <c r="B32" s="100"/>
      <c r="C32" s="80"/>
      <c r="D32" s="80"/>
      <c r="E32" s="112"/>
      <c r="F32" s="80"/>
      <c r="G32" s="80"/>
      <c r="H32" s="80"/>
      <c r="I32" s="80"/>
      <c r="J32" s="80"/>
      <c r="K32" s="80"/>
      <c r="L32" s="80"/>
    </row>
    <row r="33" spans="1:12" s="81" customFormat="1" ht="14.25">
      <c r="B33" s="100"/>
      <c r="C33" s="80"/>
      <c r="D33" s="80"/>
      <c r="E33" s="112"/>
      <c r="F33" s="80"/>
      <c r="G33" s="80"/>
      <c r="H33" s="80"/>
      <c r="I33" s="80"/>
      <c r="J33" s="80"/>
      <c r="K33" s="80"/>
      <c r="L33" s="80"/>
    </row>
    <row r="34" spans="1:12" s="106" customFormat="1" ht="14.25">
      <c r="A34" s="102" t="s">
        <v>30</v>
      </c>
      <c r="B34" s="103"/>
      <c r="C34" s="104"/>
      <c r="D34" s="104"/>
      <c r="E34" s="105" t="s">
        <v>96</v>
      </c>
      <c r="F34" s="104"/>
      <c r="G34" s="104"/>
      <c r="H34" s="104"/>
      <c r="I34" s="104"/>
      <c r="J34" s="104"/>
      <c r="K34" s="104"/>
      <c r="L34" s="104"/>
    </row>
    <row r="35" spans="1:12" s="111" customFormat="1" ht="12.75">
      <c r="A35" s="107" t="s">
        <v>31</v>
      </c>
      <c r="B35" s="108"/>
      <c r="C35" s="109"/>
      <c r="D35" s="109"/>
      <c r="E35" s="110" t="s">
        <v>97</v>
      </c>
      <c r="F35" s="109"/>
      <c r="G35" s="109"/>
      <c r="H35" s="109"/>
      <c r="I35" s="109"/>
      <c r="J35" s="109"/>
      <c r="K35" s="109"/>
      <c r="L35" s="109"/>
    </row>
    <row r="36" spans="1:12" s="81" customFormat="1" ht="14.25">
      <c r="B36" s="100"/>
      <c r="C36" s="80"/>
      <c r="D36" s="80"/>
      <c r="E36" s="112"/>
      <c r="F36" s="80"/>
      <c r="G36" s="80"/>
      <c r="H36" s="80"/>
      <c r="I36" s="80"/>
      <c r="J36" s="80"/>
      <c r="K36" s="80"/>
      <c r="L36" s="80"/>
    </row>
    <row r="37" spans="1:12" s="81" customFormat="1" ht="14.25">
      <c r="B37" s="100"/>
      <c r="C37" s="80"/>
      <c r="D37" s="80"/>
      <c r="E37" s="112"/>
      <c r="F37" s="80"/>
      <c r="G37" s="80"/>
      <c r="H37" s="80"/>
      <c r="I37" s="80"/>
      <c r="J37" s="80"/>
      <c r="K37" s="80"/>
      <c r="L37" s="80"/>
    </row>
  </sheetData>
  <mergeCells count="27">
    <mergeCell ref="L13:L14"/>
    <mergeCell ref="A16:D16"/>
    <mergeCell ref="A10:K10"/>
    <mergeCell ref="A11:K11"/>
    <mergeCell ref="A13:A14"/>
    <mergeCell ref="B13:B14"/>
    <mergeCell ref="C13:C14"/>
    <mergeCell ref="D13:D14"/>
    <mergeCell ref="E13:E14"/>
    <mergeCell ref="F13:H13"/>
    <mergeCell ref="I13:K13"/>
    <mergeCell ref="E17:E18"/>
    <mergeCell ref="A27:D27"/>
    <mergeCell ref="A28:D28"/>
    <mergeCell ref="A17:A18"/>
    <mergeCell ref="B17:B18"/>
    <mergeCell ref="C17:C18"/>
    <mergeCell ref="A22:D22"/>
    <mergeCell ref="A23:A26"/>
    <mergeCell ref="B23:B26"/>
    <mergeCell ref="C23:C26"/>
    <mergeCell ref="E23:E26"/>
    <mergeCell ref="A19:D19"/>
    <mergeCell ref="A20:A21"/>
    <mergeCell ref="B20:B21"/>
    <mergeCell ref="C20:C21"/>
    <mergeCell ref="E20:E21"/>
  </mergeCells>
  <pageMargins left="0.61" right="0.59" top="0.42" bottom="0.32" header="0.31496062992125984" footer="0.31496062992125984"/>
  <pageSetup paperSize="9" scale="71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346AB-55CF-4086-80AA-1BAF7671CEFD}">
  <sheetPr>
    <pageSetUpPr fitToPage="1"/>
  </sheetPr>
  <dimension ref="A10:L44"/>
  <sheetViews>
    <sheetView topLeftCell="A12" zoomScale="99" zoomScaleNormal="99" workbookViewId="0">
      <selection activeCell="D19" sqref="D19"/>
    </sheetView>
  </sheetViews>
  <sheetFormatPr defaultColWidth="8.85546875" defaultRowHeight="15"/>
  <cols>
    <col min="1" max="1" width="32.28515625" style="4" customWidth="1"/>
    <col min="2" max="2" width="17.7109375" style="2" customWidth="1"/>
    <col min="3" max="3" width="23.28515625" style="1" customWidth="1"/>
    <col min="4" max="4" width="37" style="1" customWidth="1"/>
    <col min="5" max="5" width="16" style="3" customWidth="1"/>
    <col min="6" max="6" width="9" style="1" customWidth="1"/>
    <col min="7" max="7" width="8.7109375" style="1" customWidth="1"/>
    <col min="8" max="8" width="9.7109375" style="1" customWidth="1"/>
    <col min="9" max="9" width="16.42578125" style="1" customWidth="1"/>
    <col min="10" max="10" width="12.28515625" style="1" customWidth="1"/>
    <col min="11" max="11" width="11.28515625" style="1" customWidth="1"/>
    <col min="12" max="12" width="29.7109375" style="1" customWidth="1"/>
    <col min="13" max="16384" width="8.85546875" style="4"/>
  </cols>
  <sheetData>
    <row r="10" spans="1:12" ht="18.75">
      <c r="A10" s="159" t="s">
        <v>35</v>
      </c>
      <c r="B10" s="159"/>
      <c r="C10" s="159"/>
      <c r="D10" s="159"/>
      <c r="E10" s="159"/>
      <c r="F10" s="159"/>
      <c r="G10" s="159"/>
      <c r="H10" s="159"/>
      <c r="I10" s="159"/>
      <c r="J10" s="159"/>
      <c r="K10" s="159"/>
    </row>
    <row r="11" spans="1:12">
      <c r="A11" s="257" t="s">
        <v>100</v>
      </c>
      <c r="B11" s="161"/>
      <c r="C11" s="161"/>
      <c r="D11" s="161"/>
      <c r="E11" s="161"/>
      <c r="F11" s="161"/>
      <c r="G11" s="161"/>
      <c r="H11" s="161"/>
      <c r="I11" s="161"/>
      <c r="J11" s="161"/>
      <c r="K11" s="161"/>
    </row>
    <row r="13" spans="1:12" ht="52.15" customHeight="1">
      <c r="A13" s="241" t="s">
        <v>43</v>
      </c>
      <c r="B13" s="241" t="s">
        <v>23</v>
      </c>
      <c r="C13" s="241" t="s">
        <v>24</v>
      </c>
      <c r="D13" s="243" t="s">
        <v>0</v>
      </c>
      <c r="E13" s="245" t="s">
        <v>14</v>
      </c>
      <c r="F13" s="246" t="s">
        <v>15</v>
      </c>
      <c r="G13" s="246"/>
      <c r="H13" s="246"/>
      <c r="I13" s="247" t="s">
        <v>17</v>
      </c>
      <c r="J13" s="247"/>
      <c r="K13" s="247"/>
      <c r="L13" s="239" t="s">
        <v>1</v>
      </c>
    </row>
    <row r="14" spans="1:12" ht="57">
      <c r="A14" s="242"/>
      <c r="B14" s="242"/>
      <c r="C14" s="242"/>
      <c r="D14" s="244"/>
      <c r="E14" s="245"/>
      <c r="F14" s="82" t="s">
        <v>16</v>
      </c>
      <c r="G14" s="82" t="s">
        <v>13</v>
      </c>
      <c r="H14" s="82" t="s">
        <v>20</v>
      </c>
      <c r="I14" s="83" t="s">
        <v>18</v>
      </c>
      <c r="J14" s="83" t="s">
        <v>19</v>
      </c>
      <c r="K14" s="83" t="s">
        <v>20</v>
      </c>
      <c r="L14" s="239"/>
    </row>
    <row r="15" spans="1:12" ht="42.75">
      <c r="A15" s="84" t="s">
        <v>98</v>
      </c>
      <c r="B15" s="85">
        <v>45870</v>
      </c>
      <c r="C15" s="84" t="s">
        <v>99</v>
      </c>
      <c r="D15" s="86" t="s">
        <v>9</v>
      </c>
      <c r="E15" s="87">
        <v>1</v>
      </c>
      <c r="F15" s="88">
        <v>2</v>
      </c>
      <c r="G15" s="88">
        <v>1</v>
      </c>
      <c r="H15" s="89">
        <f>F15+G15</f>
        <v>3</v>
      </c>
      <c r="I15" s="90">
        <v>1</v>
      </c>
      <c r="J15" s="90"/>
      <c r="K15" s="91">
        <f>I15+J15</f>
        <v>1</v>
      </c>
      <c r="L15" s="92"/>
    </row>
    <row r="16" spans="1:12" s="77" customFormat="1" ht="15.75" thickBot="1">
      <c r="A16" s="228" t="s">
        <v>26</v>
      </c>
      <c r="B16" s="229"/>
      <c r="C16" s="229"/>
      <c r="D16" s="229"/>
      <c r="E16" s="93">
        <f t="shared" ref="E16:K16" si="0">SUM(E15:E15)</f>
        <v>1</v>
      </c>
      <c r="F16" s="93">
        <f t="shared" si="0"/>
        <v>2</v>
      </c>
      <c r="G16" s="93">
        <f t="shared" si="0"/>
        <v>1</v>
      </c>
      <c r="H16" s="93">
        <f t="shared" si="0"/>
        <v>3</v>
      </c>
      <c r="I16" s="93">
        <f t="shared" si="0"/>
        <v>1</v>
      </c>
      <c r="J16" s="93">
        <f t="shared" si="0"/>
        <v>0</v>
      </c>
      <c r="K16" s="93">
        <f t="shared" si="0"/>
        <v>1</v>
      </c>
      <c r="L16" s="94"/>
    </row>
    <row r="17" spans="1:12" ht="33" customHeight="1" thickBot="1">
      <c r="A17" s="232" t="s">
        <v>103</v>
      </c>
      <c r="B17" s="234">
        <v>45883</v>
      </c>
      <c r="C17" s="235" t="s">
        <v>101</v>
      </c>
      <c r="D17" s="117" t="s">
        <v>3</v>
      </c>
      <c r="E17" s="226">
        <v>1</v>
      </c>
      <c r="F17" s="88">
        <v>3</v>
      </c>
      <c r="G17" s="88">
        <v>15</v>
      </c>
      <c r="H17" s="89">
        <f>F17+G17</f>
        <v>18</v>
      </c>
      <c r="I17" s="90">
        <v>1</v>
      </c>
      <c r="J17" s="90"/>
      <c r="K17" s="91">
        <f>I17+J17</f>
        <v>1</v>
      </c>
      <c r="L17" s="92"/>
    </row>
    <row r="18" spans="1:12" ht="33" customHeight="1" thickBot="1">
      <c r="A18" s="255"/>
      <c r="B18" s="234"/>
      <c r="C18" s="248"/>
      <c r="D18" s="118" t="s">
        <v>104</v>
      </c>
      <c r="E18" s="256"/>
      <c r="F18" s="88">
        <v>3</v>
      </c>
      <c r="G18" s="88">
        <v>11</v>
      </c>
      <c r="H18" s="89">
        <f t="shared" ref="H18:H21" si="1">F18+G18</f>
        <v>14</v>
      </c>
      <c r="I18" s="90">
        <v>1</v>
      </c>
      <c r="J18" s="90"/>
      <c r="K18" s="91">
        <f t="shared" ref="K18:K22" si="2">I18+J18</f>
        <v>1</v>
      </c>
      <c r="L18" s="92"/>
    </row>
    <row r="19" spans="1:12" ht="33" customHeight="1" thickBot="1">
      <c r="A19" s="255"/>
      <c r="B19" s="234"/>
      <c r="C19" s="248"/>
      <c r="D19" s="118" t="s">
        <v>105</v>
      </c>
      <c r="E19" s="256"/>
      <c r="F19" s="88">
        <v>22</v>
      </c>
      <c r="G19" s="88">
        <v>28</v>
      </c>
      <c r="H19" s="89">
        <f t="shared" si="1"/>
        <v>50</v>
      </c>
      <c r="I19" s="90">
        <v>1</v>
      </c>
      <c r="J19" s="90"/>
      <c r="K19" s="91">
        <f t="shared" si="2"/>
        <v>1</v>
      </c>
      <c r="L19" s="92"/>
    </row>
    <row r="20" spans="1:12" ht="33" customHeight="1" thickBot="1">
      <c r="A20" s="255"/>
      <c r="B20" s="234"/>
      <c r="C20" s="248"/>
      <c r="D20" s="118" t="s">
        <v>6</v>
      </c>
      <c r="E20" s="256"/>
      <c r="F20" s="88">
        <v>23</v>
      </c>
      <c r="G20" s="88">
        <v>16</v>
      </c>
      <c r="H20" s="89">
        <f t="shared" si="1"/>
        <v>39</v>
      </c>
      <c r="I20" s="90">
        <v>1</v>
      </c>
      <c r="J20" s="90"/>
      <c r="K20" s="91">
        <f t="shared" si="2"/>
        <v>1</v>
      </c>
      <c r="L20" s="92"/>
    </row>
    <row r="21" spans="1:12" ht="33" customHeight="1" thickBot="1">
      <c r="A21" s="255"/>
      <c r="B21" s="234"/>
      <c r="C21" s="248"/>
      <c r="D21" s="118" t="s">
        <v>2</v>
      </c>
      <c r="E21" s="256"/>
      <c r="F21" s="88">
        <v>0</v>
      </c>
      <c r="G21" s="88">
        <v>15</v>
      </c>
      <c r="H21" s="89">
        <f t="shared" si="1"/>
        <v>15</v>
      </c>
      <c r="I21" s="90">
        <v>1</v>
      </c>
      <c r="J21" s="90"/>
      <c r="K21" s="91">
        <f t="shared" si="2"/>
        <v>1</v>
      </c>
      <c r="L21" s="92"/>
    </row>
    <row r="22" spans="1:12" ht="26.45" customHeight="1" thickBot="1">
      <c r="A22" s="233"/>
      <c r="B22" s="234"/>
      <c r="C22" s="236"/>
      <c r="D22" s="118" t="s">
        <v>106</v>
      </c>
      <c r="E22" s="227"/>
      <c r="F22" s="88">
        <v>11</v>
      </c>
      <c r="G22" s="88">
        <v>9</v>
      </c>
      <c r="H22" s="89">
        <f>F22+G22</f>
        <v>20</v>
      </c>
      <c r="I22" s="90">
        <v>1</v>
      </c>
      <c r="J22" s="90"/>
      <c r="K22" s="91">
        <f t="shared" si="2"/>
        <v>1</v>
      </c>
      <c r="L22" s="92"/>
    </row>
    <row r="23" spans="1:12" s="77" customFormat="1" ht="15.75" thickBot="1">
      <c r="A23" s="228" t="s">
        <v>26</v>
      </c>
      <c r="B23" s="229"/>
      <c r="C23" s="229"/>
      <c r="D23" s="229"/>
      <c r="E23" s="93">
        <f t="shared" ref="E23" si="3">SUM(E17:E17)</f>
        <v>1</v>
      </c>
      <c r="F23" s="93">
        <f>SUM(F17:F22)</f>
        <v>62</v>
      </c>
      <c r="G23" s="93">
        <f t="shared" ref="G23:K23" si="4">SUM(G17:G22)</f>
        <v>94</v>
      </c>
      <c r="H23" s="93">
        <f t="shared" si="4"/>
        <v>156</v>
      </c>
      <c r="I23" s="93">
        <f t="shared" si="4"/>
        <v>6</v>
      </c>
      <c r="J23" s="93">
        <f t="shared" si="4"/>
        <v>0</v>
      </c>
      <c r="K23" s="93">
        <f t="shared" si="4"/>
        <v>6</v>
      </c>
      <c r="L23" s="94"/>
    </row>
    <row r="24" spans="1:12" ht="31.9" customHeight="1" thickBot="1">
      <c r="A24" s="237" t="s">
        <v>102</v>
      </c>
      <c r="B24" s="234">
        <v>45884</v>
      </c>
      <c r="C24" s="235" t="s">
        <v>101</v>
      </c>
      <c r="D24" s="117" t="s">
        <v>3</v>
      </c>
      <c r="E24" s="238">
        <v>1</v>
      </c>
      <c r="F24" s="88">
        <v>3</v>
      </c>
      <c r="G24" s="88">
        <v>2</v>
      </c>
      <c r="H24" s="89">
        <f>F24+G24</f>
        <v>5</v>
      </c>
      <c r="I24" s="90">
        <v>1</v>
      </c>
      <c r="J24" s="90"/>
      <c r="K24" s="91">
        <f>I24+J24</f>
        <v>1</v>
      </c>
      <c r="L24" s="92"/>
    </row>
    <row r="25" spans="1:12" ht="31.9" customHeight="1" thickBot="1">
      <c r="A25" s="237"/>
      <c r="B25" s="234"/>
      <c r="C25" s="248"/>
      <c r="D25" s="118" t="s">
        <v>104</v>
      </c>
      <c r="E25" s="238"/>
      <c r="F25" s="88">
        <v>0</v>
      </c>
      <c r="G25" s="88">
        <v>5</v>
      </c>
      <c r="H25" s="89">
        <f>F25+G25</f>
        <v>5</v>
      </c>
      <c r="I25" s="90">
        <v>1</v>
      </c>
      <c r="J25" s="90"/>
      <c r="K25" s="91">
        <f t="shared" ref="K25:K28" si="5">I25+J25</f>
        <v>1</v>
      </c>
      <c r="L25" s="92"/>
    </row>
    <row r="26" spans="1:12" ht="31.9" customHeight="1" thickBot="1">
      <c r="A26" s="237"/>
      <c r="B26" s="234"/>
      <c r="C26" s="248"/>
      <c r="D26" s="118" t="s">
        <v>6</v>
      </c>
      <c r="E26" s="238"/>
      <c r="F26" s="88">
        <v>1</v>
      </c>
      <c r="G26" s="88">
        <v>4</v>
      </c>
      <c r="H26" s="89">
        <f>F26+G26</f>
        <v>5</v>
      </c>
      <c r="I26" s="90">
        <v>1</v>
      </c>
      <c r="J26" s="90"/>
      <c r="K26" s="91">
        <f t="shared" si="5"/>
        <v>1</v>
      </c>
      <c r="L26" s="92"/>
    </row>
    <row r="27" spans="1:12" ht="31.9" customHeight="1" thickBot="1">
      <c r="A27" s="237"/>
      <c r="B27" s="234"/>
      <c r="C27" s="248"/>
      <c r="D27" s="118" t="s">
        <v>2</v>
      </c>
      <c r="E27" s="238"/>
      <c r="F27" s="88">
        <v>4</v>
      </c>
      <c r="G27" s="88">
        <v>2</v>
      </c>
      <c r="H27" s="89">
        <f>F27+G27</f>
        <v>6</v>
      </c>
      <c r="I27" s="90">
        <v>1</v>
      </c>
      <c r="J27" s="90"/>
      <c r="K27" s="91">
        <f t="shared" si="5"/>
        <v>1</v>
      </c>
      <c r="L27" s="92"/>
    </row>
    <row r="28" spans="1:12" ht="31.9" customHeight="1" thickBot="1">
      <c r="A28" s="237"/>
      <c r="B28" s="234"/>
      <c r="C28" s="236"/>
      <c r="D28" s="118" t="s">
        <v>106</v>
      </c>
      <c r="E28" s="238"/>
      <c r="F28" s="88">
        <v>5</v>
      </c>
      <c r="G28" s="88">
        <v>2</v>
      </c>
      <c r="H28" s="89">
        <f t="shared" ref="H28" si="6">F28+G28</f>
        <v>7</v>
      </c>
      <c r="I28" s="90">
        <v>1</v>
      </c>
      <c r="J28" s="90"/>
      <c r="K28" s="91">
        <f t="shared" si="5"/>
        <v>1</v>
      </c>
      <c r="L28" s="92"/>
    </row>
    <row r="29" spans="1:12" s="77" customFormat="1" ht="15.75" thickBot="1">
      <c r="A29" s="228" t="s">
        <v>26</v>
      </c>
      <c r="B29" s="229"/>
      <c r="C29" s="229"/>
      <c r="D29" s="229"/>
      <c r="E29" s="93">
        <f>E24</f>
        <v>1</v>
      </c>
      <c r="F29" s="93">
        <f t="shared" ref="F29:K29" si="7">SUM(F24:F28)</f>
        <v>13</v>
      </c>
      <c r="G29" s="93">
        <f t="shared" si="7"/>
        <v>15</v>
      </c>
      <c r="H29" s="93">
        <f t="shared" si="7"/>
        <v>28</v>
      </c>
      <c r="I29" s="93">
        <f t="shared" si="7"/>
        <v>5</v>
      </c>
      <c r="J29" s="93">
        <f t="shared" si="7"/>
        <v>0</v>
      </c>
      <c r="K29" s="93">
        <f t="shared" si="7"/>
        <v>5</v>
      </c>
      <c r="L29" s="96"/>
    </row>
    <row r="30" spans="1:12" ht="36.75" customHeight="1" thickBot="1">
      <c r="A30" s="249" t="s">
        <v>107</v>
      </c>
      <c r="B30" s="252">
        <v>45709</v>
      </c>
      <c r="C30" s="249" t="s">
        <v>108</v>
      </c>
      <c r="D30" s="119" t="s">
        <v>3</v>
      </c>
      <c r="E30" s="238">
        <v>1</v>
      </c>
      <c r="F30" s="88">
        <v>3</v>
      </c>
      <c r="G30" s="88">
        <v>5</v>
      </c>
      <c r="H30" s="89">
        <f>F30+G30</f>
        <v>8</v>
      </c>
      <c r="I30" s="90">
        <v>1</v>
      </c>
      <c r="J30" s="90"/>
      <c r="K30" s="91">
        <f>I30+J30</f>
        <v>1</v>
      </c>
      <c r="L30" s="97"/>
    </row>
    <row r="31" spans="1:12" ht="30" customHeight="1" thickBot="1">
      <c r="A31" s="250"/>
      <c r="B31" s="253"/>
      <c r="C31" s="250"/>
      <c r="D31" s="120" t="s">
        <v>104</v>
      </c>
      <c r="E31" s="238"/>
      <c r="F31" s="88">
        <v>1</v>
      </c>
      <c r="G31" s="88">
        <v>5</v>
      </c>
      <c r="H31" s="89">
        <f t="shared" ref="H31:H33" si="8">F31+G31</f>
        <v>6</v>
      </c>
      <c r="I31" s="90">
        <v>1</v>
      </c>
      <c r="J31" s="90"/>
      <c r="K31" s="91">
        <f t="shared" ref="K31:K33" si="9">I31+J31</f>
        <v>1</v>
      </c>
      <c r="L31" s="97"/>
    </row>
    <row r="32" spans="1:12" ht="30" customHeight="1" thickBot="1">
      <c r="A32" s="250"/>
      <c r="B32" s="253"/>
      <c r="C32" s="250"/>
      <c r="D32" s="120" t="s">
        <v>6</v>
      </c>
      <c r="E32" s="238"/>
      <c r="F32" s="88">
        <v>5</v>
      </c>
      <c r="G32" s="88">
        <v>6</v>
      </c>
      <c r="H32" s="89">
        <f t="shared" si="8"/>
        <v>11</v>
      </c>
      <c r="I32" s="90">
        <v>1</v>
      </c>
      <c r="J32" s="90"/>
      <c r="K32" s="91">
        <f t="shared" si="9"/>
        <v>1</v>
      </c>
      <c r="L32" s="97"/>
    </row>
    <row r="33" spans="1:12" ht="29.25" thickBot="1">
      <c r="A33" s="251"/>
      <c r="B33" s="254"/>
      <c r="C33" s="251"/>
      <c r="D33" s="120" t="s">
        <v>106</v>
      </c>
      <c r="E33" s="238"/>
      <c r="F33" s="88">
        <v>4</v>
      </c>
      <c r="G33" s="88">
        <v>9</v>
      </c>
      <c r="H33" s="89">
        <f t="shared" si="8"/>
        <v>13</v>
      </c>
      <c r="I33" s="90">
        <v>1</v>
      </c>
      <c r="J33" s="90"/>
      <c r="K33" s="91">
        <f t="shared" si="9"/>
        <v>1</v>
      </c>
      <c r="L33" s="97"/>
    </row>
    <row r="34" spans="1:12" s="77" customFormat="1">
      <c r="A34" s="228" t="s">
        <v>26</v>
      </c>
      <c r="B34" s="229"/>
      <c r="C34" s="229"/>
      <c r="D34" s="229"/>
      <c r="E34" s="93">
        <f>E30</f>
        <v>1</v>
      </c>
      <c r="F34" s="93">
        <f>SUM(F30:F33)</f>
        <v>13</v>
      </c>
      <c r="G34" s="93">
        <f t="shared" ref="G34:H34" si="10">SUM(G30:G33)</f>
        <v>25</v>
      </c>
      <c r="H34" s="93">
        <f t="shared" si="10"/>
        <v>38</v>
      </c>
      <c r="I34" s="93">
        <f>SUM(I30:I33)</f>
        <v>4</v>
      </c>
      <c r="J34" s="93">
        <f t="shared" ref="J34:K34" si="11">SUM(J30:J33)</f>
        <v>0</v>
      </c>
      <c r="K34" s="93">
        <f t="shared" si="11"/>
        <v>4</v>
      </c>
      <c r="L34" s="96"/>
    </row>
    <row r="35" spans="1:12" s="7" customFormat="1">
      <c r="A35" s="230" t="s">
        <v>25</v>
      </c>
      <c r="B35" s="231"/>
      <c r="C35" s="231"/>
      <c r="D35" s="231"/>
      <c r="E35" s="98">
        <f>E34+E29+E23+E16</f>
        <v>4</v>
      </c>
      <c r="F35" s="98">
        <f t="shared" ref="F35:K35" si="12">F34+F29+F23+F16</f>
        <v>90</v>
      </c>
      <c r="G35" s="98">
        <f t="shared" si="12"/>
        <v>135</v>
      </c>
      <c r="H35" s="98">
        <f t="shared" si="12"/>
        <v>225</v>
      </c>
      <c r="I35" s="98">
        <f t="shared" si="12"/>
        <v>16</v>
      </c>
      <c r="J35" s="98">
        <f t="shared" si="12"/>
        <v>0</v>
      </c>
      <c r="K35" s="98">
        <f t="shared" si="12"/>
        <v>16</v>
      </c>
      <c r="L35" s="99"/>
    </row>
    <row r="37" spans="1:12" s="81" customFormat="1" ht="14.25">
      <c r="A37" s="81" t="s">
        <v>29</v>
      </c>
      <c r="B37" s="100"/>
      <c r="C37" s="80"/>
      <c r="D37" s="80"/>
      <c r="E37" s="101" t="s">
        <v>32</v>
      </c>
      <c r="F37" s="80"/>
      <c r="G37" s="80"/>
      <c r="H37" s="80"/>
      <c r="I37" s="80"/>
      <c r="J37" s="80"/>
      <c r="K37" s="80"/>
      <c r="L37" s="80"/>
    </row>
    <row r="38" spans="1:12" s="81" customFormat="1" ht="14.25">
      <c r="B38" s="100"/>
      <c r="C38" s="80"/>
      <c r="D38" s="80"/>
      <c r="E38" s="112"/>
      <c r="F38" s="80"/>
      <c r="G38" s="80"/>
      <c r="H38" s="80"/>
      <c r="I38" s="80"/>
      <c r="J38" s="80"/>
      <c r="K38" s="80"/>
      <c r="L38" s="80"/>
    </row>
    <row r="39" spans="1:12" s="81" customFormat="1" ht="14.25">
      <c r="B39" s="100"/>
      <c r="C39" s="80"/>
      <c r="D39" s="80"/>
      <c r="E39" s="112"/>
      <c r="F39" s="80"/>
      <c r="G39" s="80"/>
      <c r="H39" s="80"/>
      <c r="I39" s="80"/>
      <c r="J39" s="80"/>
      <c r="K39" s="80"/>
      <c r="L39" s="80"/>
    </row>
    <row r="40" spans="1:12" s="81" customFormat="1" ht="14.25">
      <c r="B40" s="100"/>
      <c r="C40" s="80"/>
      <c r="D40" s="80"/>
      <c r="E40" s="112"/>
      <c r="F40" s="80"/>
      <c r="G40" s="80"/>
      <c r="H40" s="80"/>
      <c r="I40" s="80"/>
      <c r="J40" s="80"/>
      <c r="K40" s="80"/>
      <c r="L40" s="80"/>
    </row>
    <row r="41" spans="1:12" s="106" customFormat="1" ht="14.25">
      <c r="A41" s="102" t="s">
        <v>30</v>
      </c>
      <c r="B41" s="103"/>
      <c r="C41" s="104"/>
      <c r="D41" s="104"/>
      <c r="E41" s="105" t="s">
        <v>96</v>
      </c>
      <c r="F41" s="104"/>
      <c r="G41" s="104"/>
      <c r="H41" s="104"/>
      <c r="I41" s="104"/>
      <c r="J41" s="104"/>
      <c r="K41" s="104"/>
      <c r="L41" s="104"/>
    </row>
    <row r="42" spans="1:12" s="111" customFormat="1" ht="12.75">
      <c r="A42" s="107" t="s">
        <v>31</v>
      </c>
      <c r="B42" s="108"/>
      <c r="C42" s="109"/>
      <c r="D42" s="109"/>
      <c r="E42" s="110" t="s">
        <v>97</v>
      </c>
      <c r="F42" s="109"/>
      <c r="G42" s="109"/>
      <c r="H42" s="109"/>
      <c r="I42" s="109"/>
      <c r="J42" s="109"/>
      <c r="K42" s="109"/>
      <c r="L42" s="109"/>
    </row>
    <row r="43" spans="1:12" s="81" customFormat="1" ht="14.25">
      <c r="B43" s="100"/>
      <c r="C43" s="80"/>
      <c r="D43" s="80"/>
      <c r="E43" s="112"/>
      <c r="F43" s="80"/>
      <c r="G43" s="80"/>
      <c r="H43" s="80"/>
      <c r="I43" s="80"/>
      <c r="J43" s="80"/>
      <c r="K43" s="80"/>
      <c r="L43" s="80"/>
    </row>
    <row r="44" spans="1:12" s="81" customFormat="1" ht="14.25">
      <c r="B44" s="100"/>
      <c r="C44" s="80"/>
      <c r="D44" s="80"/>
      <c r="E44" s="112"/>
      <c r="F44" s="80"/>
      <c r="G44" s="80"/>
      <c r="H44" s="80"/>
      <c r="I44" s="80"/>
      <c r="J44" s="80"/>
      <c r="K44" s="80"/>
      <c r="L44" s="80"/>
    </row>
  </sheetData>
  <mergeCells count="27">
    <mergeCell ref="A10:K10"/>
    <mergeCell ref="A11:K11"/>
    <mergeCell ref="A13:A14"/>
    <mergeCell ref="B13:B14"/>
    <mergeCell ref="C13:C14"/>
    <mergeCell ref="D13:D14"/>
    <mergeCell ref="E13:E14"/>
    <mergeCell ref="F13:H13"/>
    <mergeCell ref="I13:K13"/>
    <mergeCell ref="L13:L14"/>
    <mergeCell ref="A16:D16"/>
    <mergeCell ref="A17:A22"/>
    <mergeCell ref="B17:B22"/>
    <mergeCell ref="C17:C22"/>
    <mergeCell ref="E17:E22"/>
    <mergeCell ref="E30:E33"/>
    <mergeCell ref="A34:D34"/>
    <mergeCell ref="A35:D35"/>
    <mergeCell ref="A23:D23"/>
    <mergeCell ref="A24:A28"/>
    <mergeCell ref="B24:B28"/>
    <mergeCell ref="C24:C28"/>
    <mergeCell ref="A30:A33"/>
    <mergeCell ref="B30:B33"/>
    <mergeCell ref="C30:C33"/>
    <mergeCell ref="E24:E28"/>
    <mergeCell ref="A29:D29"/>
  </mergeCells>
  <pageMargins left="0.45" right="0.49" top="0.64" bottom="0.6" header="0.31496062992125984" footer="0.31496062992125984"/>
  <pageSetup paperSize="9" scale="71" fitToHeight="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D6A3F-DA29-40E0-8EEE-DF75C1010D4C}">
  <sheetPr>
    <pageSetUpPr fitToPage="1"/>
  </sheetPr>
  <dimension ref="A10:L67"/>
  <sheetViews>
    <sheetView topLeftCell="A40" zoomScale="99" zoomScaleNormal="99" workbookViewId="0">
      <selection activeCell="D29" sqref="D29"/>
    </sheetView>
  </sheetViews>
  <sheetFormatPr defaultColWidth="8.85546875" defaultRowHeight="15"/>
  <cols>
    <col min="1" max="1" width="32.28515625" style="4" customWidth="1"/>
    <col min="2" max="2" width="17.7109375" style="2" customWidth="1"/>
    <col min="3" max="3" width="23.28515625" style="1" customWidth="1"/>
    <col min="4" max="4" width="37" style="1" customWidth="1"/>
    <col min="5" max="5" width="16" style="3" customWidth="1"/>
    <col min="6" max="6" width="9" style="1" customWidth="1"/>
    <col min="7" max="7" width="8.7109375" style="1" customWidth="1"/>
    <col min="8" max="8" width="9.7109375" style="1" customWidth="1"/>
    <col min="9" max="9" width="16.42578125" style="1" customWidth="1"/>
    <col min="10" max="10" width="12.28515625" style="1" customWidth="1"/>
    <col min="11" max="11" width="11.28515625" style="1" customWidth="1"/>
    <col min="12" max="12" width="29.7109375" style="1" customWidth="1"/>
    <col min="13" max="16384" width="8.85546875" style="4"/>
  </cols>
  <sheetData>
    <row r="10" spans="1:12" ht="18.75">
      <c r="A10" s="159" t="s">
        <v>35</v>
      </c>
      <c r="B10" s="159"/>
      <c r="C10" s="159"/>
      <c r="D10" s="159"/>
      <c r="E10" s="159"/>
      <c r="F10" s="159"/>
      <c r="G10" s="159"/>
      <c r="H10" s="159"/>
      <c r="I10" s="159"/>
      <c r="J10" s="159"/>
      <c r="K10" s="159"/>
    </row>
    <row r="11" spans="1:12">
      <c r="A11" s="258" t="s">
        <v>109</v>
      </c>
      <c r="B11" s="161"/>
      <c r="C11" s="161"/>
      <c r="D11" s="161"/>
      <c r="E11" s="161"/>
      <c r="F11" s="161"/>
      <c r="G11" s="161"/>
      <c r="H11" s="161"/>
      <c r="I11" s="161"/>
      <c r="J11" s="161"/>
      <c r="K11" s="161"/>
    </row>
    <row r="13" spans="1:12" ht="52.15" customHeight="1">
      <c r="A13" s="239" t="s">
        <v>43</v>
      </c>
      <c r="B13" s="239" t="s">
        <v>23</v>
      </c>
      <c r="C13" s="239" t="s">
        <v>24</v>
      </c>
      <c r="D13" s="239" t="s">
        <v>0</v>
      </c>
      <c r="E13" s="245" t="s">
        <v>14</v>
      </c>
      <c r="F13" s="246" t="s">
        <v>15</v>
      </c>
      <c r="G13" s="246"/>
      <c r="H13" s="246"/>
      <c r="I13" s="247" t="s">
        <v>17</v>
      </c>
      <c r="J13" s="247"/>
      <c r="K13" s="247"/>
      <c r="L13" s="239" t="s">
        <v>1</v>
      </c>
    </row>
    <row r="14" spans="1:12" ht="57">
      <c r="A14" s="239"/>
      <c r="B14" s="239"/>
      <c r="C14" s="239"/>
      <c r="D14" s="239"/>
      <c r="E14" s="245"/>
      <c r="F14" s="82" t="s">
        <v>16</v>
      </c>
      <c r="G14" s="82" t="s">
        <v>13</v>
      </c>
      <c r="H14" s="82" t="s">
        <v>20</v>
      </c>
      <c r="I14" s="83" t="s">
        <v>18</v>
      </c>
      <c r="J14" s="83" t="s">
        <v>19</v>
      </c>
      <c r="K14" s="83" t="s">
        <v>20</v>
      </c>
      <c r="L14" s="239"/>
    </row>
    <row r="15" spans="1:12" ht="41.45" customHeight="1">
      <c r="A15" s="237" t="s">
        <v>110</v>
      </c>
      <c r="B15" s="234">
        <v>45909</v>
      </c>
      <c r="C15" s="237" t="s">
        <v>111</v>
      </c>
      <c r="D15" s="95" t="s">
        <v>3</v>
      </c>
      <c r="E15" s="238">
        <v>1</v>
      </c>
      <c r="F15" s="88">
        <v>2</v>
      </c>
      <c r="G15" s="88">
        <v>5</v>
      </c>
      <c r="H15" s="89">
        <f>F15+G15</f>
        <v>7</v>
      </c>
      <c r="I15" s="90">
        <v>1</v>
      </c>
      <c r="J15" s="90"/>
      <c r="K15" s="91">
        <f>I15+J15</f>
        <v>1</v>
      </c>
      <c r="L15" s="92"/>
    </row>
    <row r="16" spans="1:12" ht="28.5">
      <c r="A16" s="237"/>
      <c r="B16" s="234"/>
      <c r="C16" s="237"/>
      <c r="D16" s="95" t="s">
        <v>104</v>
      </c>
      <c r="E16" s="238"/>
      <c r="F16" s="88">
        <v>1</v>
      </c>
      <c r="G16" s="88">
        <v>5</v>
      </c>
      <c r="H16" s="89">
        <f t="shared" ref="H16:H18" si="0">F16+G16</f>
        <v>6</v>
      </c>
      <c r="I16" s="90">
        <v>1</v>
      </c>
      <c r="J16" s="90"/>
      <c r="K16" s="91">
        <f t="shared" ref="K16:K18" si="1">I16+J16</f>
        <v>1</v>
      </c>
      <c r="L16" s="92"/>
    </row>
    <row r="17" spans="1:12" ht="28.5">
      <c r="A17" s="237"/>
      <c r="B17" s="234"/>
      <c r="C17" s="237"/>
      <c r="D17" s="95" t="s">
        <v>50</v>
      </c>
      <c r="E17" s="238"/>
      <c r="F17" s="88">
        <v>9</v>
      </c>
      <c r="G17" s="88">
        <v>6</v>
      </c>
      <c r="H17" s="89">
        <f t="shared" si="0"/>
        <v>15</v>
      </c>
      <c r="I17" s="90">
        <v>1</v>
      </c>
      <c r="J17" s="90"/>
      <c r="K17" s="91">
        <f t="shared" si="1"/>
        <v>1</v>
      </c>
      <c r="L17" s="92"/>
    </row>
    <row r="18" spans="1:12" ht="28.5">
      <c r="A18" s="237"/>
      <c r="B18" s="234"/>
      <c r="C18" s="237"/>
      <c r="D18" s="95" t="s">
        <v>80</v>
      </c>
      <c r="E18" s="238"/>
      <c r="F18" s="88">
        <f>4+6+1</f>
        <v>11</v>
      </c>
      <c r="G18" s="88">
        <f>6+4+2</f>
        <v>12</v>
      </c>
      <c r="H18" s="89">
        <f t="shared" si="0"/>
        <v>23</v>
      </c>
      <c r="I18" s="90">
        <v>1</v>
      </c>
      <c r="J18" s="90"/>
      <c r="K18" s="91">
        <f t="shared" si="1"/>
        <v>1</v>
      </c>
      <c r="L18" s="92"/>
    </row>
    <row r="19" spans="1:12" s="77" customFormat="1">
      <c r="A19" s="259" t="s">
        <v>26</v>
      </c>
      <c r="B19" s="259"/>
      <c r="C19" s="259"/>
      <c r="D19" s="259"/>
      <c r="E19" s="93">
        <f t="shared" ref="E19" si="2">SUM(E15:E15)</f>
        <v>1</v>
      </c>
      <c r="F19" s="93">
        <f>SUM(F15:F18)</f>
        <v>23</v>
      </c>
      <c r="G19" s="93">
        <f t="shared" ref="G19:K19" si="3">SUM(G15:G18)</f>
        <v>28</v>
      </c>
      <c r="H19" s="93">
        <f t="shared" si="3"/>
        <v>51</v>
      </c>
      <c r="I19" s="93">
        <f t="shared" si="3"/>
        <v>4</v>
      </c>
      <c r="J19" s="93">
        <f t="shared" si="3"/>
        <v>0</v>
      </c>
      <c r="K19" s="93">
        <f t="shared" si="3"/>
        <v>4</v>
      </c>
      <c r="L19" s="94"/>
    </row>
    <row r="20" spans="1:12" ht="33" customHeight="1">
      <c r="A20" s="237" t="s">
        <v>113</v>
      </c>
      <c r="B20" s="234">
        <v>45910</v>
      </c>
      <c r="C20" s="237" t="s">
        <v>112</v>
      </c>
      <c r="D20" s="121" t="s">
        <v>104</v>
      </c>
      <c r="E20" s="238">
        <v>1</v>
      </c>
      <c r="F20" s="88">
        <v>0</v>
      </c>
      <c r="G20" s="88">
        <v>0</v>
      </c>
      <c r="H20" s="89">
        <f>F20+G20</f>
        <v>0</v>
      </c>
      <c r="I20" s="90">
        <v>1</v>
      </c>
      <c r="J20" s="90"/>
      <c r="K20" s="91">
        <f>I20+J20</f>
        <v>1</v>
      </c>
      <c r="L20" s="92"/>
    </row>
    <row r="21" spans="1:12" ht="33" customHeight="1">
      <c r="A21" s="237"/>
      <c r="B21" s="234"/>
      <c r="C21" s="237"/>
      <c r="D21" s="121" t="s">
        <v>105</v>
      </c>
      <c r="E21" s="238"/>
      <c r="F21" s="88">
        <v>4</v>
      </c>
      <c r="G21" s="88">
        <v>4</v>
      </c>
      <c r="H21" s="89">
        <f t="shared" ref="H21:H23" si="4">F21+G21</f>
        <v>8</v>
      </c>
      <c r="I21" s="90">
        <v>1</v>
      </c>
      <c r="J21" s="90"/>
      <c r="K21" s="91">
        <f t="shared" ref="K21:K23" si="5">I21+J21</f>
        <v>1</v>
      </c>
      <c r="L21" s="92"/>
    </row>
    <row r="22" spans="1:12" ht="33" customHeight="1">
      <c r="A22" s="237"/>
      <c r="B22" s="234"/>
      <c r="C22" s="237"/>
      <c r="D22" s="121" t="s">
        <v>6</v>
      </c>
      <c r="E22" s="238"/>
      <c r="F22" s="88">
        <v>5</v>
      </c>
      <c r="G22" s="88">
        <v>8</v>
      </c>
      <c r="H22" s="89">
        <f t="shared" si="4"/>
        <v>13</v>
      </c>
      <c r="I22" s="90">
        <v>1</v>
      </c>
      <c r="J22" s="90"/>
      <c r="K22" s="91">
        <f t="shared" si="5"/>
        <v>1</v>
      </c>
      <c r="L22" s="92"/>
    </row>
    <row r="23" spans="1:12" ht="33" customHeight="1">
      <c r="A23" s="237"/>
      <c r="B23" s="234"/>
      <c r="C23" s="237"/>
      <c r="D23" s="121" t="s">
        <v>3</v>
      </c>
      <c r="E23" s="238"/>
      <c r="F23" s="88">
        <v>2</v>
      </c>
      <c r="G23" s="88">
        <v>4</v>
      </c>
      <c r="H23" s="89">
        <f t="shared" si="4"/>
        <v>6</v>
      </c>
      <c r="I23" s="90">
        <v>1</v>
      </c>
      <c r="J23" s="90"/>
      <c r="K23" s="91">
        <f t="shared" si="5"/>
        <v>1</v>
      </c>
      <c r="L23" s="92"/>
    </row>
    <row r="24" spans="1:12" s="77" customFormat="1">
      <c r="A24" s="259" t="s">
        <v>26</v>
      </c>
      <c r="B24" s="259"/>
      <c r="C24" s="259"/>
      <c r="D24" s="259"/>
      <c r="E24" s="93">
        <f>SUM(E20:E20)</f>
        <v>1</v>
      </c>
      <c r="F24" s="93">
        <f>SUM(F20:F23)</f>
        <v>11</v>
      </c>
      <c r="G24" s="93">
        <f t="shared" ref="G24:K24" si="6">SUM(G20:G23)</f>
        <v>16</v>
      </c>
      <c r="H24" s="93">
        <f t="shared" si="6"/>
        <v>27</v>
      </c>
      <c r="I24" s="93">
        <f t="shared" si="6"/>
        <v>4</v>
      </c>
      <c r="J24" s="93">
        <f t="shared" si="6"/>
        <v>0</v>
      </c>
      <c r="K24" s="93">
        <f t="shared" si="6"/>
        <v>4</v>
      </c>
      <c r="L24" s="94"/>
    </row>
    <row r="25" spans="1:12" ht="31.9" customHeight="1">
      <c r="A25" s="237" t="s">
        <v>114</v>
      </c>
      <c r="B25" s="234">
        <v>45912</v>
      </c>
      <c r="C25" s="237" t="s">
        <v>116</v>
      </c>
      <c r="D25" s="121" t="s">
        <v>104</v>
      </c>
      <c r="E25" s="238">
        <v>1</v>
      </c>
      <c r="F25" s="88">
        <v>0</v>
      </c>
      <c r="G25" s="88">
        <v>6</v>
      </c>
      <c r="H25" s="89">
        <f>F25+G25</f>
        <v>6</v>
      </c>
      <c r="I25" s="90">
        <v>1</v>
      </c>
      <c r="J25" s="90"/>
      <c r="K25" s="91">
        <f>I25+J25</f>
        <v>1</v>
      </c>
      <c r="L25" s="92"/>
    </row>
    <row r="26" spans="1:12" ht="31.9" customHeight="1">
      <c r="A26" s="237"/>
      <c r="B26" s="234"/>
      <c r="C26" s="237"/>
      <c r="D26" s="121" t="s">
        <v>3</v>
      </c>
      <c r="E26" s="238"/>
      <c r="F26" s="88">
        <v>4</v>
      </c>
      <c r="G26" s="88">
        <v>13</v>
      </c>
      <c r="H26" s="89">
        <f>F26+G26</f>
        <v>17</v>
      </c>
      <c r="I26" s="90">
        <v>1</v>
      </c>
      <c r="J26" s="90"/>
      <c r="K26" s="91">
        <f t="shared" ref="K26:K29" si="7">I26+J26</f>
        <v>1</v>
      </c>
      <c r="L26" s="92"/>
    </row>
    <row r="27" spans="1:12" ht="31.9" customHeight="1">
      <c r="A27" s="237"/>
      <c r="B27" s="234"/>
      <c r="C27" s="237"/>
      <c r="D27" s="95" t="s">
        <v>51</v>
      </c>
      <c r="E27" s="238"/>
      <c r="F27" s="88">
        <v>3</v>
      </c>
      <c r="G27" s="88">
        <v>2</v>
      </c>
      <c r="H27" s="89">
        <f>F27+G27</f>
        <v>5</v>
      </c>
      <c r="I27" s="90">
        <v>1</v>
      </c>
      <c r="J27" s="90"/>
      <c r="K27" s="91">
        <f t="shared" si="7"/>
        <v>1</v>
      </c>
      <c r="L27" s="92"/>
    </row>
    <row r="28" spans="1:12" ht="31.9" customHeight="1">
      <c r="A28" s="237"/>
      <c r="B28" s="234"/>
      <c r="C28" s="237"/>
      <c r="D28" s="121" t="s">
        <v>6</v>
      </c>
      <c r="E28" s="238"/>
      <c r="F28" s="88">
        <v>7</v>
      </c>
      <c r="G28" s="88">
        <v>10</v>
      </c>
      <c r="H28" s="89">
        <f>F28+G28</f>
        <v>17</v>
      </c>
      <c r="I28" s="90">
        <v>1</v>
      </c>
      <c r="J28" s="90"/>
      <c r="K28" s="91">
        <f t="shared" si="7"/>
        <v>1</v>
      </c>
      <c r="L28" s="92"/>
    </row>
    <row r="29" spans="1:12" ht="31.9" customHeight="1">
      <c r="A29" s="237"/>
      <c r="B29" s="234"/>
      <c r="C29" s="237"/>
      <c r="D29" s="121" t="s">
        <v>2</v>
      </c>
      <c r="E29" s="238"/>
      <c r="F29" s="88">
        <v>10</v>
      </c>
      <c r="G29" s="88">
        <v>8</v>
      </c>
      <c r="H29" s="89">
        <f t="shared" ref="H29" si="8">F29+G29</f>
        <v>18</v>
      </c>
      <c r="I29" s="90">
        <v>1</v>
      </c>
      <c r="J29" s="90"/>
      <c r="K29" s="91">
        <f t="shared" si="7"/>
        <v>1</v>
      </c>
      <c r="L29" s="92"/>
    </row>
    <row r="30" spans="1:12" s="77" customFormat="1">
      <c r="A30" s="259" t="s">
        <v>26</v>
      </c>
      <c r="B30" s="259"/>
      <c r="C30" s="259"/>
      <c r="D30" s="259"/>
      <c r="E30" s="93">
        <f>E25</f>
        <v>1</v>
      </c>
      <c r="F30" s="93">
        <f t="shared" ref="F30:K30" si="9">SUM(F25:F29)</f>
        <v>24</v>
      </c>
      <c r="G30" s="93">
        <f t="shared" si="9"/>
        <v>39</v>
      </c>
      <c r="H30" s="93">
        <f t="shared" si="9"/>
        <v>63</v>
      </c>
      <c r="I30" s="93">
        <f t="shared" si="9"/>
        <v>5</v>
      </c>
      <c r="J30" s="93">
        <f t="shared" si="9"/>
        <v>0</v>
      </c>
      <c r="K30" s="93">
        <f t="shared" si="9"/>
        <v>5</v>
      </c>
      <c r="L30" s="96"/>
    </row>
    <row r="31" spans="1:12" ht="71.25">
      <c r="A31" s="121" t="s">
        <v>114</v>
      </c>
      <c r="B31" s="116">
        <v>45913</v>
      </c>
      <c r="C31" s="121" t="s">
        <v>115</v>
      </c>
      <c r="D31" s="121" t="s">
        <v>3</v>
      </c>
      <c r="E31" s="87">
        <v>1</v>
      </c>
      <c r="F31" s="88">
        <v>1</v>
      </c>
      <c r="G31" s="88">
        <v>7</v>
      </c>
      <c r="H31" s="89">
        <f>F31+G31</f>
        <v>8</v>
      </c>
      <c r="I31" s="90">
        <v>1</v>
      </c>
      <c r="J31" s="90"/>
      <c r="K31" s="91">
        <f>I31+J31</f>
        <v>1</v>
      </c>
      <c r="L31" s="97"/>
    </row>
    <row r="32" spans="1:12" s="77" customFormat="1">
      <c r="A32" s="259" t="s">
        <v>26</v>
      </c>
      <c r="B32" s="259"/>
      <c r="C32" s="259"/>
      <c r="D32" s="259"/>
      <c r="E32" s="93">
        <f>E31</f>
        <v>1</v>
      </c>
      <c r="F32" s="93">
        <f t="shared" ref="F32:K32" si="10">SUM(F31:F31)</f>
        <v>1</v>
      </c>
      <c r="G32" s="93">
        <f t="shared" si="10"/>
        <v>7</v>
      </c>
      <c r="H32" s="93">
        <f t="shared" si="10"/>
        <v>8</v>
      </c>
      <c r="I32" s="93">
        <f t="shared" si="10"/>
        <v>1</v>
      </c>
      <c r="J32" s="93">
        <f t="shared" si="10"/>
        <v>0</v>
      </c>
      <c r="K32" s="93">
        <f t="shared" si="10"/>
        <v>1</v>
      </c>
      <c r="L32" s="96"/>
    </row>
    <row r="33" spans="1:12" ht="25.15" customHeight="1">
      <c r="A33" s="261" t="s">
        <v>65</v>
      </c>
      <c r="B33" s="234">
        <v>45913</v>
      </c>
      <c r="C33" s="261" t="s">
        <v>116</v>
      </c>
      <c r="D33" s="121" t="s">
        <v>2</v>
      </c>
      <c r="E33" s="238">
        <v>1</v>
      </c>
      <c r="F33" s="88">
        <f>8+3+3</f>
        <v>14</v>
      </c>
      <c r="G33" s="88">
        <f>2+7+1</f>
        <v>10</v>
      </c>
      <c r="H33" s="89">
        <f>F33+G33</f>
        <v>24</v>
      </c>
      <c r="I33" s="90">
        <v>1</v>
      </c>
      <c r="J33" s="90"/>
      <c r="K33" s="91">
        <f>I33+J33</f>
        <v>1</v>
      </c>
      <c r="L33" s="97"/>
    </row>
    <row r="34" spans="1:12" ht="30" customHeight="1">
      <c r="A34" s="261"/>
      <c r="B34" s="234"/>
      <c r="C34" s="261"/>
      <c r="D34" s="121" t="s">
        <v>104</v>
      </c>
      <c r="E34" s="238"/>
      <c r="F34" s="88">
        <v>1</v>
      </c>
      <c r="G34" s="88">
        <v>8</v>
      </c>
      <c r="H34" s="89">
        <f t="shared" ref="H34:H35" si="11">F34+G34</f>
        <v>9</v>
      </c>
      <c r="I34" s="90">
        <v>1</v>
      </c>
      <c r="J34" s="90"/>
      <c r="K34" s="91">
        <f t="shared" ref="K34:K35" si="12">I34+J34</f>
        <v>1</v>
      </c>
      <c r="L34" s="97"/>
    </row>
    <row r="35" spans="1:12" ht="30" customHeight="1">
      <c r="A35" s="261"/>
      <c r="B35" s="234"/>
      <c r="C35" s="261"/>
      <c r="D35" s="121" t="s">
        <v>6</v>
      </c>
      <c r="E35" s="238"/>
      <c r="F35" s="88">
        <f>6+5</f>
        <v>11</v>
      </c>
      <c r="G35" s="88">
        <v>9</v>
      </c>
      <c r="H35" s="89">
        <f t="shared" si="11"/>
        <v>20</v>
      </c>
      <c r="I35" s="90">
        <v>1</v>
      </c>
      <c r="J35" s="90"/>
      <c r="K35" s="91">
        <f t="shared" si="12"/>
        <v>1</v>
      </c>
      <c r="L35" s="97"/>
    </row>
    <row r="36" spans="1:12" s="77" customFormat="1">
      <c r="A36" s="259" t="s">
        <v>26</v>
      </c>
      <c r="B36" s="259"/>
      <c r="C36" s="259"/>
      <c r="D36" s="259"/>
      <c r="E36" s="93">
        <f>E33</f>
        <v>1</v>
      </c>
      <c r="F36" s="93">
        <f>SUM(F33:F35)</f>
        <v>26</v>
      </c>
      <c r="G36" s="93">
        <f t="shared" ref="G36:K36" si="13">SUM(G33:G35)</f>
        <v>27</v>
      </c>
      <c r="H36" s="93">
        <f t="shared" si="13"/>
        <v>53</v>
      </c>
      <c r="I36" s="93">
        <f t="shared" si="13"/>
        <v>3</v>
      </c>
      <c r="J36" s="93">
        <f t="shared" si="13"/>
        <v>0</v>
      </c>
      <c r="K36" s="93">
        <f t="shared" si="13"/>
        <v>3</v>
      </c>
      <c r="L36" s="96"/>
    </row>
    <row r="37" spans="1:12" ht="28.5">
      <c r="A37" s="121" t="s">
        <v>120</v>
      </c>
      <c r="B37" s="116">
        <v>45913</v>
      </c>
      <c r="C37" s="121" t="s">
        <v>121</v>
      </c>
      <c r="D37" s="121" t="s">
        <v>119</v>
      </c>
      <c r="E37" s="87">
        <v>1</v>
      </c>
      <c r="F37" s="88">
        <v>15</v>
      </c>
      <c r="G37" s="88">
        <v>12</v>
      </c>
      <c r="H37" s="89">
        <f>F37+G37</f>
        <v>27</v>
      </c>
      <c r="I37" s="90">
        <v>1</v>
      </c>
      <c r="J37" s="90"/>
      <c r="K37" s="91">
        <f>I37+J37</f>
        <v>1</v>
      </c>
      <c r="L37" s="97"/>
    </row>
    <row r="38" spans="1:12" s="77" customFormat="1">
      <c r="A38" s="259" t="s">
        <v>26</v>
      </c>
      <c r="B38" s="259"/>
      <c r="C38" s="259"/>
      <c r="D38" s="259"/>
      <c r="E38" s="93">
        <f>E37</f>
        <v>1</v>
      </c>
      <c r="F38" s="93">
        <f>F37</f>
        <v>15</v>
      </c>
      <c r="G38" s="93">
        <f t="shared" ref="G38:K38" si="14">G37</f>
        <v>12</v>
      </c>
      <c r="H38" s="93">
        <f t="shared" si="14"/>
        <v>27</v>
      </c>
      <c r="I38" s="93">
        <f t="shared" si="14"/>
        <v>1</v>
      </c>
      <c r="J38" s="93">
        <f t="shared" si="14"/>
        <v>0</v>
      </c>
      <c r="K38" s="93">
        <f t="shared" si="14"/>
        <v>1</v>
      </c>
      <c r="L38" s="96"/>
    </row>
    <row r="39" spans="1:12" ht="25.15" customHeight="1">
      <c r="A39" s="261" t="s">
        <v>118</v>
      </c>
      <c r="B39" s="234">
        <v>45913</v>
      </c>
      <c r="C39" s="261" t="s">
        <v>117</v>
      </c>
      <c r="D39" s="121" t="s">
        <v>51</v>
      </c>
      <c r="E39" s="238">
        <v>1</v>
      </c>
      <c r="F39" s="88">
        <v>0</v>
      </c>
      <c r="G39" s="88">
        <v>3</v>
      </c>
      <c r="H39" s="89">
        <f>F39+G39</f>
        <v>3</v>
      </c>
      <c r="I39" s="90">
        <v>1</v>
      </c>
      <c r="J39" s="90"/>
      <c r="K39" s="91">
        <f>I39+J39</f>
        <v>1</v>
      </c>
      <c r="L39" s="97"/>
    </row>
    <row r="40" spans="1:12" ht="30" customHeight="1">
      <c r="A40" s="261"/>
      <c r="B40" s="234"/>
      <c r="C40" s="261"/>
      <c r="D40" s="121" t="s">
        <v>119</v>
      </c>
      <c r="E40" s="238"/>
      <c r="F40" s="88">
        <v>1</v>
      </c>
      <c r="G40" s="88">
        <v>3</v>
      </c>
      <c r="H40" s="89">
        <f t="shared" ref="H40" si="15">F40+G40</f>
        <v>4</v>
      </c>
      <c r="I40" s="90">
        <v>1</v>
      </c>
      <c r="J40" s="90"/>
      <c r="K40" s="91">
        <f t="shared" ref="K40" si="16">I40+J40</f>
        <v>1</v>
      </c>
      <c r="L40" s="97"/>
    </row>
    <row r="41" spans="1:12" s="77" customFormat="1">
      <c r="A41" s="259" t="s">
        <v>26</v>
      </c>
      <c r="B41" s="259"/>
      <c r="C41" s="259"/>
      <c r="D41" s="259"/>
      <c r="E41" s="93">
        <f>E39</f>
        <v>1</v>
      </c>
      <c r="F41" s="93">
        <f>SUM(F39:F40)</f>
        <v>1</v>
      </c>
      <c r="G41" s="93">
        <f t="shared" ref="G41:K41" si="17">SUM(G39:G40)</f>
        <v>6</v>
      </c>
      <c r="H41" s="93">
        <f t="shared" si="17"/>
        <v>7</v>
      </c>
      <c r="I41" s="93">
        <f t="shared" si="17"/>
        <v>2</v>
      </c>
      <c r="J41" s="93">
        <f t="shared" si="17"/>
        <v>0</v>
      </c>
      <c r="K41" s="93">
        <f t="shared" si="17"/>
        <v>2</v>
      </c>
      <c r="L41" s="96"/>
    </row>
    <row r="42" spans="1:12" ht="25.15" customHeight="1">
      <c r="A42" s="261" t="s">
        <v>122</v>
      </c>
      <c r="B42" s="234">
        <v>45925</v>
      </c>
      <c r="C42" s="261" t="s">
        <v>123</v>
      </c>
      <c r="D42" s="121" t="s">
        <v>6</v>
      </c>
      <c r="E42" s="238">
        <v>1</v>
      </c>
      <c r="F42" s="88">
        <f>7+1</f>
        <v>8</v>
      </c>
      <c r="G42" s="88">
        <f>4+3</f>
        <v>7</v>
      </c>
      <c r="H42" s="89">
        <f>F42+G42</f>
        <v>15</v>
      </c>
      <c r="I42" s="90">
        <v>1</v>
      </c>
      <c r="J42" s="90"/>
      <c r="K42" s="91">
        <f>I42+J42</f>
        <v>1</v>
      </c>
      <c r="L42" s="97"/>
    </row>
    <row r="43" spans="1:12" ht="30" customHeight="1">
      <c r="A43" s="261"/>
      <c r="B43" s="234"/>
      <c r="C43" s="261"/>
      <c r="D43" s="121" t="s">
        <v>124</v>
      </c>
      <c r="E43" s="238"/>
      <c r="F43" s="88">
        <v>0</v>
      </c>
      <c r="G43" s="88">
        <v>0</v>
      </c>
      <c r="H43" s="89">
        <f t="shared" ref="H43:H44" si="18">F43+G43</f>
        <v>0</v>
      </c>
      <c r="I43" s="90">
        <v>1</v>
      </c>
      <c r="J43" s="90"/>
      <c r="K43" s="91">
        <f t="shared" ref="K43:K44" si="19">I43+J43</f>
        <v>1</v>
      </c>
      <c r="L43" s="97"/>
    </row>
    <row r="44" spans="1:12" ht="30" customHeight="1">
      <c r="A44" s="261"/>
      <c r="B44" s="234"/>
      <c r="C44" s="261"/>
      <c r="D44" s="121" t="s">
        <v>104</v>
      </c>
      <c r="E44" s="238"/>
      <c r="F44" s="88">
        <v>0</v>
      </c>
      <c r="G44" s="88">
        <v>8</v>
      </c>
      <c r="H44" s="89">
        <f t="shared" si="18"/>
        <v>8</v>
      </c>
      <c r="I44" s="90">
        <v>1</v>
      </c>
      <c r="J44" s="90"/>
      <c r="K44" s="91">
        <f t="shared" si="19"/>
        <v>1</v>
      </c>
      <c r="L44" s="97"/>
    </row>
    <row r="45" spans="1:12" s="77" customFormat="1">
      <c r="A45" s="259" t="s">
        <v>26</v>
      </c>
      <c r="B45" s="259"/>
      <c r="C45" s="259"/>
      <c r="D45" s="259"/>
      <c r="E45" s="93">
        <f>E42</f>
        <v>1</v>
      </c>
      <c r="F45" s="93">
        <f>SUM(F42:F44)</f>
        <v>8</v>
      </c>
      <c r="G45" s="93">
        <f t="shared" ref="G45:K45" si="20">SUM(G42:G44)</f>
        <v>15</v>
      </c>
      <c r="H45" s="93">
        <f t="shared" si="20"/>
        <v>23</v>
      </c>
      <c r="I45" s="93">
        <f t="shared" si="20"/>
        <v>3</v>
      </c>
      <c r="J45" s="93">
        <f t="shared" si="20"/>
        <v>0</v>
      </c>
      <c r="K45" s="93">
        <f t="shared" si="20"/>
        <v>3</v>
      </c>
      <c r="L45" s="96"/>
    </row>
    <row r="46" spans="1:12" ht="25.15" customHeight="1">
      <c r="A46" s="261" t="s">
        <v>126</v>
      </c>
      <c r="B46" s="234">
        <v>45926</v>
      </c>
      <c r="C46" s="261" t="s">
        <v>125</v>
      </c>
      <c r="D46" s="121" t="s">
        <v>104</v>
      </c>
      <c r="E46" s="238">
        <v>1</v>
      </c>
      <c r="F46" s="88">
        <v>6</v>
      </c>
      <c r="G46" s="88">
        <v>5</v>
      </c>
      <c r="H46" s="89">
        <f>F46+G46</f>
        <v>11</v>
      </c>
      <c r="I46" s="90">
        <v>1</v>
      </c>
      <c r="J46" s="90"/>
      <c r="K46" s="91">
        <f>I46+J46</f>
        <v>1</v>
      </c>
      <c r="L46" s="97"/>
    </row>
    <row r="47" spans="1:12" ht="30" customHeight="1">
      <c r="A47" s="261"/>
      <c r="B47" s="234"/>
      <c r="C47" s="261"/>
      <c r="D47" s="121" t="s">
        <v>119</v>
      </c>
      <c r="E47" s="238"/>
      <c r="F47" s="88">
        <v>1</v>
      </c>
      <c r="G47" s="88">
        <v>0</v>
      </c>
      <c r="H47" s="89">
        <f t="shared" ref="H47" si="21">F47+G47</f>
        <v>1</v>
      </c>
      <c r="I47" s="90">
        <v>1</v>
      </c>
      <c r="J47" s="90"/>
      <c r="K47" s="91">
        <f t="shared" ref="K47" si="22">I47+J47</f>
        <v>1</v>
      </c>
      <c r="L47" s="97"/>
    </row>
    <row r="48" spans="1:12" s="77" customFormat="1">
      <c r="A48" s="259" t="s">
        <v>26</v>
      </c>
      <c r="B48" s="259"/>
      <c r="C48" s="259"/>
      <c r="D48" s="259"/>
      <c r="E48" s="93">
        <f>E46</f>
        <v>1</v>
      </c>
      <c r="F48" s="93">
        <f t="shared" ref="F48:K48" si="23">SUM(F46:F47)</f>
        <v>7</v>
      </c>
      <c r="G48" s="93">
        <f t="shared" si="23"/>
        <v>5</v>
      </c>
      <c r="H48" s="93">
        <f t="shared" si="23"/>
        <v>12</v>
      </c>
      <c r="I48" s="93">
        <f t="shared" si="23"/>
        <v>2</v>
      </c>
      <c r="J48" s="93">
        <f t="shared" si="23"/>
        <v>0</v>
      </c>
      <c r="K48" s="93">
        <f t="shared" si="23"/>
        <v>2</v>
      </c>
      <c r="L48" s="96"/>
    </row>
    <row r="49" spans="1:12" ht="42.75">
      <c r="A49" s="121" t="s">
        <v>127</v>
      </c>
      <c r="B49" s="116">
        <v>45927</v>
      </c>
      <c r="C49" s="121" t="s">
        <v>128</v>
      </c>
      <c r="D49" s="121" t="s">
        <v>104</v>
      </c>
      <c r="E49" s="87">
        <v>1</v>
      </c>
      <c r="F49" s="88">
        <v>1</v>
      </c>
      <c r="G49" s="88">
        <v>6</v>
      </c>
      <c r="H49" s="89">
        <f>F49+G49</f>
        <v>7</v>
      </c>
      <c r="I49" s="90">
        <v>1</v>
      </c>
      <c r="J49" s="90"/>
      <c r="K49" s="91">
        <f>I49+J49</f>
        <v>1</v>
      </c>
      <c r="L49" s="97"/>
    </row>
    <row r="50" spans="1:12" s="77" customFormat="1">
      <c r="A50" s="259" t="s">
        <v>26</v>
      </c>
      <c r="B50" s="259"/>
      <c r="C50" s="259"/>
      <c r="D50" s="259"/>
      <c r="E50" s="93">
        <f>E49</f>
        <v>1</v>
      </c>
      <c r="F50" s="93">
        <f>F49</f>
        <v>1</v>
      </c>
      <c r="G50" s="93">
        <f t="shared" ref="G50:K50" si="24">G49</f>
        <v>6</v>
      </c>
      <c r="H50" s="93">
        <f t="shared" si="24"/>
        <v>7</v>
      </c>
      <c r="I50" s="93">
        <f t="shared" si="24"/>
        <v>1</v>
      </c>
      <c r="J50" s="93">
        <f t="shared" si="24"/>
        <v>0</v>
      </c>
      <c r="K50" s="93">
        <f t="shared" si="24"/>
        <v>1</v>
      </c>
      <c r="L50" s="96"/>
    </row>
    <row r="51" spans="1:12" ht="31.9" customHeight="1">
      <c r="A51" s="237" t="s">
        <v>129</v>
      </c>
      <c r="B51" s="234" t="s">
        <v>130</v>
      </c>
      <c r="C51" s="237" t="s">
        <v>131</v>
      </c>
      <c r="D51" s="121" t="s">
        <v>132</v>
      </c>
      <c r="E51" s="238">
        <v>1</v>
      </c>
      <c r="F51" s="88">
        <v>57</v>
      </c>
      <c r="G51" s="88">
        <v>30</v>
      </c>
      <c r="H51" s="89">
        <f>F51+G51</f>
        <v>87</v>
      </c>
      <c r="I51" s="90">
        <v>1</v>
      </c>
      <c r="J51" s="90"/>
      <c r="K51" s="91">
        <f>I51+J51</f>
        <v>1</v>
      </c>
      <c r="L51" s="92"/>
    </row>
    <row r="52" spans="1:12" ht="31.9" customHeight="1">
      <c r="A52" s="237"/>
      <c r="B52" s="234"/>
      <c r="C52" s="237"/>
      <c r="D52" s="121" t="s">
        <v>51</v>
      </c>
      <c r="E52" s="238"/>
      <c r="F52" s="88">
        <v>2</v>
      </c>
      <c r="G52" s="88">
        <v>5</v>
      </c>
      <c r="H52" s="89">
        <f>F52+G52</f>
        <v>7</v>
      </c>
      <c r="I52" s="90">
        <v>1</v>
      </c>
      <c r="J52" s="90"/>
      <c r="K52" s="91">
        <f t="shared" ref="K52:K56" si="25">I52+J52</f>
        <v>1</v>
      </c>
      <c r="L52" s="92"/>
    </row>
    <row r="53" spans="1:12" ht="31.9" customHeight="1">
      <c r="A53" s="237"/>
      <c r="B53" s="234"/>
      <c r="C53" s="237"/>
      <c r="D53" s="121" t="s">
        <v>133</v>
      </c>
      <c r="E53" s="238"/>
      <c r="F53" s="88">
        <v>123</v>
      </c>
      <c r="G53" s="88">
        <v>37</v>
      </c>
      <c r="H53" s="89">
        <f t="shared" ref="H53:H56" si="26">F53+G53</f>
        <v>160</v>
      </c>
      <c r="I53" s="90">
        <v>1</v>
      </c>
      <c r="J53" s="90"/>
      <c r="K53" s="91">
        <f t="shared" si="25"/>
        <v>1</v>
      </c>
      <c r="L53" s="92"/>
    </row>
    <row r="54" spans="1:12" ht="31.9" customHeight="1">
      <c r="A54" s="237"/>
      <c r="B54" s="234"/>
      <c r="C54" s="237"/>
      <c r="D54" s="95" t="s">
        <v>106</v>
      </c>
      <c r="E54" s="238"/>
      <c r="F54" s="88">
        <v>35</v>
      </c>
      <c r="G54" s="88">
        <v>20</v>
      </c>
      <c r="H54" s="89">
        <f t="shared" si="26"/>
        <v>55</v>
      </c>
      <c r="I54" s="90">
        <v>1</v>
      </c>
      <c r="J54" s="90"/>
      <c r="K54" s="91">
        <f t="shared" si="25"/>
        <v>1</v>
      </c>
      <c r="L54" s="92"/>
    </row>
    <row r="55" spans="1:12" ht="31.9" customHeight="1">
      <c r="A55" s="237"/>
      <c r="B55" s="234"/>
      <c r="C55" s="237"/>
      <c r="D55" s="121" t="s">
        <v>134</v>
      </c>
      <c r="E55" s="238"/>
      <c r="F55" s="88">
        <v>90</v>
      </c>
      <c r="G55" s="88">
        <v>30</v>
      </c>
      <c r="H55" s="89">
        <f t="shared" si="26"/>
        <v>120</v>
      </c>
      <c r="I55" s="90">
        <v>1</v>
      </c>
      <c r="J55" s="90"/>
      <c r="K55" s="91">
        <f t="shared" si="25"/>
        <v>1</v>
      </c>
      <c r="L55" s="92"/>
    </row>
    <row r="56" spans="1:12" ht="31.9" customHeight="1">
      <c r="A56" s="237"/>
      <c r="B56" s="234"/>
      <c r="C56" s="237"/>
      <c r="D56" s="121" t="s">
        <v>119</v>
      </c>
      <c r="E56" s="238"/>
      <c r="F56" s="88">
        <v>14</v>
      </c>
      <c r="G56" s="88">
        <v>10</v>
      </c>
      <c r="H56" s="89">
        <f t="shared" si="26"/>
        <v>24</v>
      </c>
      <c r="I56" s="90">
        <v>1</v>
      </c>
      <c r="J56" s="90"/>
      <c r="K56" s="91">
        <f t="shared" si="25"/>
        <v>1</v>
      </c>
      <c r="L56" s="92"/>
    </row>
    <row r="57" spans="1:12" s="77" customFormat="1">
      <c r="A57" s="259" t="s">
        <v>26</v>
      </c>
      <c r="B57" s="259"/>
      <c r="C57" s="259"/>
      <c r="D57" s="259"/>
      <c r="E57" s="93">
        <f>E51</f>
        <v>1</v>
      </c>
      <c r="F57" s="93">
        <f t="shared" ref="F57:K57" si="27">SUM(F51:F56)</f>
        <v>321</v>
      </c>
      <c r="G57" s="93">
        <f t="shared" si="27"/>
        <v>132</v>
      </c>
      <c r="H57" s="93">
        <f t="shared" si="27"/>
        <v>453</v>
      </c>
      <c r="I57" s="93">
        <f t="shared" si="27"/>
        <v>6</v>
      </c>
      <c r="J57" s="93">
        <f t="shared" si="27"/>
        <v>0</v>
      </c>
      <c r="K57" s="93">
        <f t="shared" si="27"/>
        <v>6</v>
      </c>
      <c r="L57" s="96"/>
    </row>
    <row r="58" spans="1:12" s="7" customFormat="1">
      <c r="A58" s="260" t="s">
        <v>25</v>
      </c>
      <c r="B58" s="260"/>
      <c r="C58" s="260"/>
      <c r="D58" s="260"/>
      <c r="E58" s="98">
        <f>E57+E50+E48+E45+E41+E38+E36+E32+E30+E24+E19</f>
        <v>11</v>
      </c>
      <c r="F58" s="98">
        <f>F57+F50+F48+F45+F41+F38+F36+F32+F30+F24+F19</f>
        <v>438</v>
      </c>
      <c r="G58" s="98">
        <f t="shared" ref="G58:K58" si="28">G57+G50+G48+G45+G41+G38+G36+G32+G30+G24+G19</f>
        <v>293</v>
      </c>
      <c r="H58" s="98">
        <f t="shared" si="28"/>
        <v>731</v>
      </c>
      <c r="I58" s="98">
        <f t="shared" si="28"/>
        <v>32</v>
      </c>
      <c r="J58" s="98">
        <f t="shared" si="28"/>
        <v>0</v>
      </c>
      <c r="K58" s="98">
        <f t="shared" si="28"/>
        <v>32</v>
      </c>
      <c r="L58" s="99"/>
    </row>
    <row r="60" spans="1:12" s="81" customFormat="1" ht="14.25">
      <c r="A60" s="81" t="s">
        <v>29</v>
      </c>
      <c r="B60" s="100"/>
      <c r="C60" s="80"/>
      <c r="D60" s="80"/>
      <c r="E60" s="101" t="s">
        <v>32</v>
      </c>
      <c r="F60" s="80"/>
      <c r="G60" s="80"/>
      <c r="H60" s="80"/>
      <c r="I60" s="80"/>
      <c r="J60" s="80"/>
      <c r="K60" s="80"/>
      <c r="L60" s="80"/>
    </row>
    <row r="61" spans="1:12" s="81" customFormat="1" ht="14.25">
      <c r="B61" s="100"/>
      <c r="C61" s="80"/>
      <c r="D61" s="80"/>
      <c r="E61" s="112"/>
      <c r="F61" s="80"/>
      <c r="G61" s="80"/>
      <c r="H61" s="80"/>
      <c r="I61" s="80"/>
      <c r="J61" s="80"/>
      <c r="K61" s="80"/>
      <c r="L61" s="80"/>
    </row>
    <row r="62" spans="1:12" s="81" customFormat="1" ht="14.25">
      <c r="B62" s="100"/>
      <c r="C62" s="80"/>
      <c r="D62" s="80"/>
      <c r="E62" s="112"/>
      <c r="F62" s="80"/>
      <c r="G62" s="80"/>
      <c r="H62" s="80"/>
      <c r="I62" s="80"/>
      <c r="J62" s="80"/>
      <c r="K62" s="80"/>
      <c r="L62" s="80"/>
    </row>
    <row r="63" spans="1:12" s="81" customFormat="1" ht="14.25">
      <c r="B63" s="100"/>
      <c r="C63" s="80"/>
      <c r="D63" s="80"/>
      <c r="E63" s="112"/>
      <c r="F63" s="80"/>
      <c r="G63" s="80"/>
      <c r="H63" s="80"/>
      <c r="I63" s="80"/>
      <c r="J63" s="80"/>
      <c r="K63" s="80"/>
      <c r="L63" s="80"/>
    </row>
    <row r="64" spans="1:12" s="106" customFormat="1" ht="14.25">
      <c r="A64" s="102" t="s">
        <v>30</v>
      </c>
      <c r="B64" s="103"/>
      <c r="C64" s="104"/>
      <c r="D64" s="104"/>
      <c r="E64" s="105" t="s">
        <v>96</v>
      </c>
      <c r="F64" s="104"/>
      <c r="G64" s="104"/>
      <c r="H64" s="104"/>
      <c r="I64" s="104"/>
      <c r="J64" s="104"/>
      <c r="K64" s="104"/>
      <c r="L64" s="104"/>
    </row>
    <row r="65" spans="1:12" s="111" customFormat="1" ht="12.75">
      <c r="A65" s="107" t="s">
        <v>31</v>
      </c>
      <c r="B65" s="108"/>
      <c r="C65" s="109"/>
      <c r="D65" s="109"/>
      <c r="E65" s="110" t="s">
        <v>97</v>
      </c>
      <c r="F65" s="109"/>
      <c r="G65" s="109"/>
      <c r="H65" s="109"/>
      <c r="I65" s="109"/>
      <c r="J65" s="109"/>
      <c r="K65" s="109"/>
      <c r="L65" s="109"/>
    </row>
    <row r="66" spans="1:12" s="81" customFormat="1" ht="14.25">
      <c r="B66" s="100"/>
      <c r="C66" s="80"/>
      <c r="D66" s="80"/>
      <c r="E66" s="112"/>
      <c r="F66" s="80"/>
      <c r="G66" s="80"/>
      <c r="H66" s="80"/>
      <c r="I66" s="80"/>
      <c r="J66" s="80"/>
      <c r="K66" s="80"/>
      <c r="L66" s="80"/>
    </row>
    <row r="67" spans="1:12" s="81" customFormat="1" ht="14.25">
      <c r="B67" s="100"/>
      <c r="C67" s="80"/>
      <c r="D67" s="80"/>
      <c r="E67" s="112"/>
      <c r="F67" s="80"/>
      <c r="G67" s="80"/>
      <c r="H67" s="80"/>
      <c r="I67" s="80"/>
      <c r="J67" s="80"/>
      <c r="K67" s="80"/>
      <c r="L67" s="80"/>
    </row>
  </sheetData>
  <mergeCells count="54">
    <mergeCell ref="E51:E56"/>
    <mergeCell ref="A50:D50"/>
    <mergeCell ref="E42:E44"/>
    <mergeCell ref="A45:D45"/>
    <mergeCell ref="A46:A47"/>
    <mergeCell ref="B46:B47"/>
    <mergeCell ref="C46:C47"/>
    <mergeCell ref="E46:E47"/>
    <mergeCell ref="E33:E35"/>
    <mergeCell ref="A39:A40"/>
    <mergeCell ref="B39:B40"/>
    <mergeCell ref="C39:C40"/>
    <mergeCell ref="E39:E40"/>
    <mergeCell ref="A36:D36"/>
    <mergeCell ref="A38:D38"/>
    <mergeCell ref="A33:A35"/>
    <mergeCell ref="B33:B35"/>
    <mergeCell ref="C33:C35"/>
    <mergeCell ref="A41:D41"/>
    <mergeCell ref="A58:D58"/>
    <mergeCell ref="A24:D24"/>
    <mergeCell ref="A25:A29"/>
    <mergeCell ref="B25:B29"/>
    <mergeCell ref="C25:C29"/>
    <mergeCell ref="A32:D32"/>
    <mergeCell ref="A42:A44"/>
    <mergeCell ref="B42:B44"/>
    <mergeCell ref="C42:C44"/>
    <mergeCell ref="A48:D48"/>
    <mergeCell ref="A57:D57"/>
    <mergeCell ref="A51:A56"/>
    <mergeCell ref="B51:B56"/>
    <mergeCell ref="C51:C56"/>
    <mergeCell ref="E25:E29"/>
    <mergeCell ref="A30:D30"/>
    <mergeCell ref="L13:L14"/>
    <mergeCell ref="A19:D19"/>
    <mergeCell ref="A20:A23"/>
    <mergeCell ref="B20:B23"/>
    <mergeCell ref="C20:C23"/>
    <mergeCell ref="E20:E23"/>
    <mergeCell ref="C15:C18"/>
    <mergeCell ref="B15:B18"/>
    <mergeCell ref="A15:A18"/>
    <mergeCell ref="E15:E18"/>
    <mergeCell ref="A10:K10"/>
    <mergeCell ref="A11:K11"/>
    <mergeCell ref="A13:A14"/>
    <mergeCell ref="B13:B14"/>
    <mergeCell ref="C13:C14"/>
    <mergeCell ref="D13:D14"/>
    <mergeCell ref="E13:E14"/>
    <mergeCell ref="F13:H13"/>
    <mergeCell ref="I13:K13"/>
  </mergeCells>
  <pageMargins left="0.45" right="0.49" top="0.68" bottom="0.43" header="0.31496062992125984" footer="0.31496062992125984"/>
  <pageSetup paperSize="9" scale="71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630E3-58FB-450C-B52C-08BA15BC16A8}">
  <sheetPr>
    <pageSetUpPr fitToPage="1"/>
  </sheetPr>
  <dimension ref="A10:L29"/>
  <sheetViews>
    <sheetView topLeftCell="A10" zoomScale="99" zoomScaleNormal="99" workbookViewId="0">
      <selection activeCell="D17" sqref="D17"/>
    </sheetView>
  </sheetViews>
  <sheetFormatPr defaultColWidth="8.85546875" defaultRowHeight="15"/>
  <cols>
    <col min="1" max="1" width="32.28515625" style="4" customWidth="1"/>
    <col min="2" max="2" width="17.7109375" style="2" customWidth="1"/>
    <col min="3" max="3" width="23.28515625" style="1" customWidth="1"/>
    <col min="4" max="4" width="37" style="1" customWidth="1"/>
    <col min="5" max="5" width="16" style="3" customWidth="1"/>
    <col min="6" max="6" width="9" style="1" customWidth="1"/>
    <col min="7" max="7" width="8.7109375" style="1" customWidth="1"/>
    <col min="8" max="8" width="9.7109375" style="1" customWidth="1"/>
    <col min="9" max="9" width="16.42578125" style="1" customWidth="1"/>
    <col min="10" max="10" width="12.28515625" style="1" customWidth="1"/>
    <col min="11" max="11" width="11.28515625" style="1" customWidth="1"/>
    <col min="12" max="12" width="29.7109375" style="1" customWidth="1"/>
    <col min="13" max="16384" width="8.85546875" style="4"/>
  </cols>
  <sheetData>
    <row r="10" spans="1:12" ht="18.75">
      <c r="A10" s="159" t="s">
        <v>35</v>
      </c>
      <c r="B10" s="159"/>
      <c r="C10" s="159"/>
      <c r="D10" s="159"/>
      <c r="E10" s="159"/>
      <c r="F10" s="159"/>
      <c r="G10" s="159"/>
      <c r="H10" s="159"/>
      <c r="I10" s="159"/>
      <c r="J10" s="159"/>
      <c r="K10" s="159"/>
    </row>
    <row r="11" spans="1:12">
      <c r="A11" s="262" t="s">
        <v>135</v>
      </c>
      <c r="B11" s="161"/>
      <c r="C11" s="161"/>
      <c r="D11" s="161"/>
      <c r="E11" s="161"/>
      <c r="F11" s="161"/>
      <c r="G11" s="161"/>
      <c r="H11" s="161"/>
      <c r="I11" s="161"/>
      <c r="J11" s="161"/>
      <c r="K11" s="161"/>
    </row>
    <row r="13" spans="1:12" ht="52.15" customHeight="1">
      <c r="A13" s="239" t="s">
        <v>43</v>
      </c>
      <c r="B13" s="239" t="s">
        <v>23</v>
      </c>
      <c r="C13" s="239" t="s">
        <v>24</v>
      </c>
      <c r="D13" s="239" t="s">
        <v>0</v>
      </c>
      <c r="E13" s="245" t="s">
        <v>14</v>
      </c>
      <c r="F13" s="246" t="s">
        <v>15</v>
      </c>
      <c r="G13" s="246"/>
      <c r="H13" s="246"/>
      <c r="I13" s="247" t="s">
        <v>17</v>
      </c>
      <c r="J13" s="247"/>
      <c r="K13" s="247"/>
      <c r="L13" s="239" t="s">
        <v>1</v>
      </c>
    </row>
    <row r="14" spans="1:12" ht="57">
      <c r="A14" s="239"/>
      <c r="B14" s="239"/>
      <c r="C14" s="239"/>
      <c r="D14" s="239"/>
      <c r="E14" s="245"/>
      <c r="F14" s="82" t="s">
        <v>16</v>
      </c>
      <c r="G14" s="82" t="s">
        <v>13</v>
      </c>
      <c r="H14" s="82" t="s">
        <v>20</v>
      </c>
      <c r="I14" s="83" t="s">
        <v>18</v>
      </c>
      <c r="J14" s="83" t="s">
        <v>19</v>
      </c>
      <c r="K14" s="83" t="s">
        <v>20</v>
      </c>
      <c r="L14" s="239"/>
    </row>
    <row r="15" spans="1:12" ht="41.45" customHeight="1">
      <c r="A15" s="95" t="s">
        <v>136</v>
      </c>
      <c r="B15" s="116">
        <v>45932</v>
      </c>
      <c r="C15" s="95" t="s">
        <v>137</v>
      </c>
      <c r="D15" s="95" t="s">
        <v>6</v>
      </c>
      <c r="E15" s="87">
        <v>1</v>
      </c>
      <c r="F15" s="88">
        <v>3</v>
      </c>
      <c r="G15" s="88">
        <v>1</v>
      </c>
      <c r="H15" s="89">
        <f>F15+G15</f>
        <v>4</v>
      </c>
      <c r="I15" s="90">
        <v>1</v>
      </c>
      <c r="J15" s="90"/>
      <c r="K15" s="91">
        <f>I15+J15</f>
        <v>1</v>
      </c>
      <c r="L15" s="92"/>
    </row>
    <row r="16" spans="1:12" s="77" customFormat="1">
      <c r="A16" s="259" t="s">
        <v>26</v>
      </c>
      <c r="B16" s="259"/>
      <c r="C16" s="259"/>
      <c r="D16" s="259"/>
      <c r="E16" s="93">
        <f t="shared" ref="E16:K16" si="0">SUM(E15:E15)</f>
        <v>1</v>
      </c>
      <c r="F16" s="93">
        <f t="shared" si="0"/>
        <v>3</v>
      </c>
      <c r="G16" s="93">
        <f t="shared" si="0"/>
        <v>1</v>
      </c>
      <c r="H16" s="93">
        <f t="shared" si="0"/>
        <v>4</v>
      </c>
      <c r="I16" s="93">
        <f t="shared" si="0"/>
        <v>1</v>
      </c>
      <c r="J16" s="93">
        <f t="shared" si="0"/>
        <v>0</v>
      </c>
      <c r="K16" s="93">
        <f t="shared" si="0"/>
        <v>1</v>
      </c>
      <c r="L16" s="94"/>
    </row>
    <row r="17" spans="1:12" ht="33" customHeight="1">
      <c r="A17" s="237" t="s">
        <v>138</v>
      </c>
      <c r="B17" s="234">
        <v>45950</v>
      </c>
      <c r="C17" s="237" t="s">
        <v>139</v>
      </c>
      <c r="D17" s="121" t="s">
        <v>3</v>
      </c>
      <c r="E17" s="238">
        <v>1</v>
      </c>
      <c r="F17" s="88">
        <v>3</v>
      </c>
      <c r="G17" s="88">
        <v>3</v>
      </c>
      <c r="H17" s="89">
        <f>F17+G17</f>
        <v>6</v>
      </c>
      <c r="I17" s="90">
        <v>1</v>
      </c>
      <c r="J17" s="90"/>
      <c r="K17" s="91">
        <f>I17+J17</f>
        <v>1</v>
      </c>
      <c r="L17" s="92"/>
    </row>
    <row r="18" spans="1:12" ht="33" customHeight="1">
      <c r="A18" s="237"/>
      <c r="B18" s="234"/>
      <c r="C18" s="237"/>
      <c r="D18" s="121" t="s">
        <v>106</v>
      </c>
      <c r="E18" s="238"/>
      <c r="F18" s="88">
        <v>2</v>
      </c>
      <c r="G18" s="88">
        <v>7</v>
      </c>
      <c r="H18" s="89">
        <f t="shared" ref="H18" si="1">F18+G18</f>
        <v>9</v>
      </c>
      <c r="I18" s="90">
        <v>1</v>
      </c>
      <c r="J18" s="90"/>
      <c r="K18" s="91">
        <f t="shared" ref="K18" si="2">I18+J18</f>
        <v>1</v>
      </c>
      <c r="L18" s="92"/>
    </row>
    <row r="19" spans="1:12" s="77" customFormat="1">
      <c r="A19" s="259" t="s">
        <v>26</v>
      </c>
      <c r="B19" s="259"/>
      <c r="C19" s="259"/>
      <c r="D19" s="259"/>
      <c r="E19" s="93">
        <f>SUM(E17:E17)</f>
        <v>1</v>
      </c>
      <c r="F19" s="93">
        <f t="shared" ref="F19:K19" si="3">SUM(F17:F18)</f>
        <v>5</v>
      </c>
      <c r="G19" s="93">
        <f t="shared" si="3"/>
        <v>10</v>
      </c>
      <c r="H19" s="93">
        <f t="shared" si="3"/>
        <v>15</v>
      </c>
      <c r="I19" s="93">
        <f t="shared" si="3"/>
        <v>2</v>
      </c>
      <c r="J19" s="93">
        <f t="shared" si="3"/>
        <v>0</v>
      </c>
      <c r="K19" s="93">
        <f t="shared" si="3"/>
        <v>2</v>
      </c>
      <c r="L19" s="94"/>
    </row>
    <row r="20" spans="1:12" s="7" customFormat="1">
      <c r="A20" s="260" t="s">
        <v>25</v>
      </c>
      <c r="B20" s="260"/>
      <c r="C20" s="260"/>
      <c r="D20" s="260"/>
      <c r="E20" s="98">
        <f>E16+E19</f>
        <v>2</v>
      </c>
      <c r="F20" s="98">
        <f t="shared" ref="F20:K20" si="4">F16+F19</f>
        <v>8</v>
      </c>
      <c r="G20" s="98">
        <f t="shared" si="4"/>
        <v>11</v>
      </c>
      <c r="H20" s="98">
        <f t="shared" si="4"/>
        <v>19</v>
      </c>
      <c r="I20" s="98">
        <f t="shared" si="4"/>
        <v>3</v>
      </c>
      <c r="J20" s="98">
        <f t="shared" si="4"/>
        <v>0</v>
      </c>
      <c r="K20" s="98">
        <f t="shared" si="4"/>
        <v>3</v>
      </c>
      <c r="L20" s="99"/>
    </row>
    <row r="22" spans="1:12" s="81" customFormat="1" ht="14.25">
      <c r="A22" s="81" t="s">
        <v>29</v>
      </c>
      <c r="B22" s="100"/>
      <c r="C22" s="80"/>
      <c r="D22" s="80"/>
      <c r="E22" s="101" t="s">
        <v>32</v>
      </c>
      <c r="F22" s="80"/>
      <c r="G22" s="80"/>
      <c r="H22" s="80"/>
      <c r="I22" s="80"/>
      <c r="J22" s="80"/>
      <c r="K22" s="80"/>
      <c r="L22" s="80"/>
    </row>
    <row r="23" spans="1:12" s="81" customFormat="1" ht="14.25">
      <c r="B23" s="100"/>
      <c r="C23" s="80"/>
      <c r="D23" s="80"/>
      <c r="E23" s="112"/>
      <c r="F23" s="80"/>
      <c r="G23" s="80"/>
      <c r="H23" s="80"/>
      <c r="I23" s="80"/>
      <c r="J23" s="80"/>
      <c r="K23" s="80"/>
      <c r="L23" s="80"/>
    </row>
    <row r="24" spans="1:12" s="81" customFormat="1" ht="14.25">
      <c r="B24" s="100"/>
      <c r="C24" s="80"/>
      <c r="D24" s="80"/>
      <c r="E24" s="112"/>
      <c r="F24" s="80"/>
      <c r="G24" s="80"/>
      <c r="H24" s="80"/>
      <c r="I24" s="80"/>
      <c r="J24" s="80"/>
      <c r="K24" s="80"/>
      <c r="L24" s="80"/>
    </row>
    <row r="25" spans="1:12" s="81" customFormat="1" ht="14.25">
      <c r="B25" s="100"/>
      <c r="C25" s="80"/>
      <c r="D25" s="80"/>
      <c r="E25" s="112"/>
      <c r="F25" s="80"/>
      <c r="G25" s="80"/>
      <c r="H25" s="80"/>
      <c r="I25" s="80"/>
      <c r="J25" s="80"/>
      <c r="K25" s="80"/>
      <c r="L25" s="80"/>
    </row>
    <row r="26" spans="1:12" s="106" customFormat="1" ht="14.25">
      <c r="A26" s="102" t="s">
        <v>30</v>
      </c>
      <c r="B26" s="103"/>
      <c r="C26" s="104"/>
      <c r="D26" s="104"/>
      <c r="E26" s="105" t="s">
        <v>96</v>
      </c>
      <c r="F26" s="104"/>
      <c r="G26" s="104"/>
      <c r="H26" s="104"/>
      <c r="I26" s="104"/>
      <c r="J26" s="104"/>
      <c r="K26" s="104"/>
      <c r="L26" s="104"/>
    </row>
    <row r="27" spans="1:12" s="111" customFormat="1" ht="12.75">
      <c r="A27" s="107" t="s">
        <v>31</v>
      </c>
      <c r="B27" s="108"/>
      <c r="C27" s="109"/>
      <c r="D27" s="109"/>
      <c r="E27" s="110" t="s">
        <v>97</v>
      </c>
      <c r="F27" s="109"/>
      <c r="G27" s="109"/>
      <c r="H27" s="109"/>
      <c r="I27" s="109"/>
      <c r="J27" s="109"/>
      <c r="K27" s="109"/>
      <c r="L27" s="109"/>
    </row>
    <row r="28" spans="1:12" s="81" customFormat="1" ht="14.25">
      <c r="B28" s="100"/>
      <c r="C28" s="80"/>
      <c r="D28" s="80"/>
      <c r="E28" s="112"/>
      <c r="F28" s="80"/>
      <c r="G28" s="80"/>
      <c r="H28" s="80"/>
      <c r="I28" s="80"/>
      <c r="J28" s="80"/>
      <c r="K28" s="80"/>
      <c r="L28" s="80"/>
    </row>
    <row r="29" spans="1:12" s="81" customFormat="1" ht="14.25">
      <c r="B29" s="100"/>
      <c r="C29" s="80"/>
      <c r="D29" s="80"/>
      <c r="E29" s="112"/>
      <c r="F29" s="80"/>
      <c r="G29" s="80"/>
      <c r="H29" s="80"/>
      <c r="I29" s="80"/>
      <c r="J29" s="80"/>
      <c r="K29" s="80"/>
      <c r="L29" s="80"/>
    </row>
  </sheetData>
  <mergeCells count="17">
    <mergeCell ref="A10:K10"/>
    <mergeCell ref="A11:K11"/>
    <mergeCell ref="A13:A14"/>
    <mergeCell ref="B13:B14"/>
    <mergeCell ref="C13:C14"/>
    <mergeCell ref="D13:D14"/>
    <mergeCell ref="E13:E14"/>
    <mergeCell ref="F13:H13"/>
    <mergeCell ref="I13:K13"/>
    <mergeCell ref="A20:D20"/>
    <mergeCell ref="L13:L14"/>
    <mergeCell ref="A16:D16"/>
    <mergeCell ref="A17:A18"/>
    <mergeCell ref="B17:B18"/>
    <mergeCell ref="C17:C18"/>
    <mergeCell ref="E17:E18"/>
    <mergeCell ref="A19:D19"/>
  </mergeCells>
  <pageMargins left="0.45" right="0.49" top="0.68" bottom="0.43" header="0.31496062992125984" footer="0.31496062992125984"/>
  <pageSetup paperSize="9" scale="71" fitToHeight="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7B52A-ED13-48ED-9C72-5F4897B84550}">
  <sheetPr>
    <pageSetUpPr fitToPage="1"/>
  </sheetPr>
  <dimension ref="A10:L29"/>
  <sheetViews>
    <sheetView topLeftCell="A7" zoomScale="99" zoomScaleNormal="99" workbookViewId="0">
      <selection activeCell="N12" sqref="N12"/>
    </sheetView>
  </sheetViews>
  <sheetFormatPr defaultColWidth="8.85546875" defaultRowHeight="15"/>
  <cols>
    <col min="1" max="1" width="32.28515625" style="4" customWidth="1"/>
    <col min="2" max="2" width="17.7109375" style="2" customWidth="1"/>
    <col min="3" max="3" width="23.28515625" style="1" customWidth="1"/>
    <col min="4" max="4" width="37" style="1" customWidth="1"/>
    <col min="5" max="5" width="16" style="3" customWidth="1"/>
    <col min="6" max="6" width="9" style="1" customWidth="1"/>
    <col min="7" max="7" width="8.7109375" style="1" customWidth="1"/>
    <col min="8" max="8" width="9.7109375" style="1" customWidth="1"/>
    <col min="9" max="9" width="16.42578125" style="1" customWidth="1"/>
    <col min="10" max="10" width="12.28515625" style="1" customWidth="1"/>
    <col min="11" max="11" width="11.28515625" style="1" customWidth="1"/>
    <col min="12" max="12" width="29.7109375" style="1" customWidth="1"/>
    <col min="13" max="16384" width="8.85546875" style="4"/>
  </cols>
  <sheetData>
    <row r="10" spans="1:12" ht="18.75">
      <c r="A10" s="159" t="s">
        <v>35</v>
      </c>
      <c r="B10" s="159"/>
      <c r="C10" s="159"/>
      <c r="D10" s="159"/>
      <c r="E10" s="159"/>
      <c r="F10" s="159"/>
      <c r="G10" s="159"/>
      <c r="H10" s="159"/>
      <c r="I10" s="159"/>
      <c r="J10" s="159"/>
      <c r="K10" s="159"/>
    </row>
    <row r="11" spans="1:12">
      <c r="A11" s="263" t="s">
        <v>140</v>
      </c>
      <c r="B11" s="161"/>
      <c r="C11" s="161"/>
      <c r="D11" s="161"/>
      <c r="E11" s="161"/>
      <c r="F11" s="161"/>
      <c r="G11" s="161"/>
      <c r="H11" s="161"/>
      <c r="I11" s="161"/>
      <c r="J11" s="161"/>
      <c r="K11" s="161"/>
    </row>
    <row r="13" spans="1:12" ht="52.15" customHeight="1">
      <c r="A13" s="239" t="s">
        <v>43</v>
      </c>
      <c r="B13" s="239" t="s">
        <v>23</v>
      </c>
      <c r="C13" s="239" t="s">
        <v>24</v>
      </c>
      <c r="D13" s="239" t="s">
        <v>0</v>
      </c>
      <c r="E13" s="245" t="s">
        <v>14</v>
      </c>
      <c r="F13" s="246" t="s">
        <v>15</v>
      </c>
      <c r="G13" s="246"/>
      <c r="H13" s="246"/>
      <c r="I13" s="247" t="s">
        <v>17</v>
      </c>
      <c r="J13" s="247"/>
      <c r="K13" s="247"/>
      <c r="L13" s="239" t="s">
        <v>1</v>
      </c>
    </row>
    <row r="14" spans="1:12" ht="57">
      <c r="A14" s="239"/>
      <c r="B14" s="239"/>
      <c r="C14" s="239"/>
      <c r="D14" s="239"/>
      <c r="E14" s="245"/>
      <c r="F14" s="82" t="s">
        <v>16</v>
      </c>
      <c r="G14" s="82" t="s">
        <v>13</v>
      </c>
      <c r="H14" s="82" t="s">
        <v>20</v>
      </c>
      <c r="I14" s="83" t="s">
        <v>18</v>
      </c>
      <c r="J14" s="83" t="s">
        <v>19</v>
      </c>
      <c r="K14" s="83" t="s">
        <v>20</v>
      </c>
      <c r="L14" s="239"/>
    </row>
    <row r="15" spans="1:12" ht="33" customHeight="1">
      <c r="A15" s="261" t="s">
        <v>141</v>
      </c>
      <c r="B15" s="234">
        <v>45980</v>
      </c>
      <c r="C15" s="261" t="s">
        <v>142</v>
      </c>
      <c r="D15" s="121" t="s">
        <v>2</v>
      </c>
      <c r="E15" s="238">
        <v>1</v>
      </c>
      <c r="F15" s="88">
        <v>8</v>
      </c>
      <c r="G15" s="88">
        <v>7</v>
      </c>
      <c r="H15" s="89">
        <f>F15+G15</f>
        <v>15</v>
      </c>
      <c r="I15" s="90">
        <v>1</v>
      </c>
      <c r="J15" s="90"/>
      <c r="K15" s="91">
        <f>I15+J15</f>
        <v>1</v>
      </c>
      <c r="L15" s="97"/>
    </row>
    <row r="16" spans="1:12" ht="35.25" customHeight="1">
      <c r="A16" s="261"/>
      <c r="B16" s="234"/>
      <c r="C16" s="261"/>
      <c r="D16" s="121" t="s">
        <v>6</v>
      </c>
      <c r="E16" s="238"/>
      <c r="F16" s="88">
        <v>7</v>
      </c>
      <c r="G16" s="88">
        <v>8</v>
      </c>
      <c r="H16" s="89">
        <f>F16+G16</f>
        <v>15</v>
      </c>
      <c r="I16" s="90">
        <v>1</v>
      </c>
      <c r="J16" s="90"/>
      <c r="K16" s="91">
        <f t="shared" ref="K16:K18" si="0">I16+J16</f>
        <v>1</v>
      </c>
      <c r="L16" s="97"/>
    </row>
    <row r="17" spans="1:12" ht="30" customHeight="1">
      <c r="A17" s="261"/>
      <c r="B17" s="234"/>
      <c r="C17" s="261"/>
      <c r="D17" s="121" t="s">
        <v>106</v>
      </c>
      <c r="E17" s="238"/>
      <c r="F17" s="88">
        <v>10</v>
      </c>
      <c r="G17" s="88">
        <v>5</v>
      </c>
      <c r="H17" s="89">
        <f t="shared" ref="H17:H18" si="1">F17+G17</f>
        <v>15</v>
      </c>
      <c r="I17" s="90">
        <v>1</v>
      </c>
      <c r="J17" s="90"/>
      <c r="K17" s="91">
        <f t="shared" si="0"/>
        <v>1</v>
      </c>
      <c r="L17" s="97"/>
    </row>
    <row r="18" spans="1:12" ht="30" customHeight="1">
      <c r="A18" s="261"/>
      <c r="B18" s="234"/>
      <c r="C18" s="261"/>
      <c r="D18" s="121" t="s">
        <v>143</v>
      </c>
      <c r="E18" s="238"/>
      <c r="F18" s="88">
        <v>14</v>
      </c>
      <c r="G18" s="88">
        <v>5</v>
      </c>
      <c r="H18" s="89">
        <f t="shared" si="1"/>
        <v>19</v>
      </c>
      <c r="I18" s="90">
        <v>1</v>
      </c>
      <c r="J18" s="90"/>
      <c r="K18" s="91">
        <f t="shared" si="0"/>
        <v>1</v>
      </c>
      <c r="L18" s="97"/>
    </row>
    <row r="19" spans="1:12" s="77" customFormat="1">
      <c r="A19" s="259" t="s">
        <v>26</v>
      </c>
      <c r="B19" s="259"/>
      <c r="C19" s="259"/>
      <c r="D19" s="259"/>
      <c r="E19" s="93">
        <f>E15</f>
        <v>1</v>
      </c>
      <c r="F19" s="93">
        <f>SUM(F15:F18)</f>
        <v>39</v>
      </c>
      <c r="G19" s="93">
        <f t="shared" ref="G19:K19" si="2">SUM(G15:G18)</f>
        <v>25</v>
      </c>
      <c r="H19" s="93">
        <f t="shared" si="2"/>
        <v>64</v>
      </c>
      <c r="I19" s="93">
        <f t="shared" si="2"/>
        <v>4</v>
      </c>
      <c r="J19" s="93">
        <f t="shared" si="2"/>
        <v>0</v>
      </c>
      <c r="K19" s="93">
        <f t="shared" si="2"/>
        <v>4</v>
      </c>
      <c r="L19" s="96"/>
    </row>
    <row r="20" spans="1:12" s="7" customFormat="1">
      <c r="A20" s="260" t="s">
        <v>25</v>
      </c>
      <c r="B20" s="260"/>
      <c r="C20" s="260"/>
      <c r="D20" s="260"/>
      <c r="E20" s="98">
        <f>E19</f>
        <v>1</v>
      </c>
      <c r="F20" s="98">
        <f t="shared" ref="F20:K20" si="3">F19</f>
        <v>39</v>
      </c>
      <c r="G20" s="98">
        <f t="shared" si="3"/>
        <v>25</v>
      </c>
      <c r="H20" s="98">
        <f t="shared" si="3"/>
        <v>64</v>
      </c>
      <c r="I20" s="98">
        <f t="shared" si="3"/>
        <v>4</v>
      </c>
      <c r="J20" s="98">
        <f t="shared" si="3"/>
        <v>0</v>
      </c>
      <c r="K20" s="98">
        <f t="shared" si="3"/>
        <v>4</v>
      </c>
      <c r="L20" s="99"/>
    </row>
    <row r="22" spans="1:12" s="81" customFormat="1" ht="14.25">
      <c r="A22" s="81" t="s">
        <v>29</v>
      </c>
      <c r="B22" s="100"/>
      <c r="C22" s="80"/>
      <c r="D22" s="80"/>
      <c r="E22" s="101" t="s">
        <v>32</v>
      </c>
      <c r="F22" s="80"/>
      <c r="G22" s="80"/>
      <c r="H22" s="80"/>
      <c r="I22" s="80"/>
      <c r="J22" s="80"/>
      <c r="K22" s="80"/>
      <c r="L22" s="80"/>
    </row>
    <row r="23" spans="1:12" s="81" customFormat="1" ht="14.25">
      <c r="B23" s="100"/>
      <c r="C23" s="80"/>
      <c r="D23" s="80"/>
      <c r="E23" s="112"/>
      <c r="F23" s="80"/>
      <c r="G23" s="80"/>
      <c r="H23" s="80"/>
      <c r="I23" s="80"/>
      <c r="J23" s="80"/>
      <c r="K23" s="80"/>
      <c r="L23" s="80"/>
    </row>
    <row r="24" spans="1:12" s="81" customFormat="1" ht="14.25">
      <c r="B24" s="100"/>
      <c r="C24" s="80"/>
      <c r="D24" s="80"/>
      <c r="E24" s="112"/>
      <c r="F24" s="80"/>
      <c r="G24" s="80"/>
      <c r="H24" s="80"/>
      <c r="I24" s="80"/>
      <c r="J24" s="80"/>
      <c r="K24" s="80"/>
      <c r="L24" s="80"/>
    </row>
    <row r="25" spans="1:12" s="81" customFormat="1" ht="14.25">
      <c r="B25" s="100"/>
      <c r="C25" s="80"/>
      <c r="D25" s="80"/>
      <c r="E25" s="112"/>
      <c r="F25" s="80"/>
      <c r="G25" s="80"/>
      <c r="H25" s="80"/>
      <c r="I25" s="80"/>
      <c r="J25" s="80"/>
      <c r="K25" s="80"/>
      <c r="L25" s="80"/>
    </row>
    <row r="26" spans="1:12" s="106" customFormat="1" ht="14.25">
      <c r="A26" s="102" t="s">
        <v>30</v>
      </c>
      <c r="B26" s="103"/>
      <c r="C26" s="104"/>
      <c r="D26" s="104"/>
      <c r="E26" s="105" t="s">
        <v>96</v>
      </c>
      <c r="F26" s="104"/>
      <c r="G26" s="104"/>
      <c r="H26" s="104"/>
      <c r="I26" s="104"/>
      <c r="J26" s="104"/>
      <c r="K26" s="104"/>
      <c r="L26" s="104"/>
    </row>
    <row r="27" spans="1:12" s="111" customFormat="1" ht="12.75">
      <c r="A27" s="107" t="s">
        <v>31</v>
      </c>
      <c r="B27" s="108"/>
      <c r="C27" s="109"/>
      <c r="D27" s="109"/>
      <c r="E27" s="110" t="s">
        <v>97</v>
      </c>
      <c r="F27" s="109"/>
      <c r="G27" s="109"/>
      <c r="H27" s="109"/>
      <c r="I27" s="109"/>
      <c r="J27" s="109"/>
      <c r="K27" s="109"/>
      <c r="L27" s="109"/>
    </row>
    <row r="28" spans="1:12" s="81" customFormat="1" ht="14.25">
      <c r="B28" s="100"/>
      <c r="C28" s="80"/>
      <c r="D28" s="80"/>
      <c r="E28" s="112"/>
      <c r="F28" s="80"/>
      <c r="G28" s="80"/>
      <c r="H28" s="80"/>
      <c r="I28" s="80"/>
      <c r="J28" s="80"/>
      <c r="K28" s="80"/>
      <c r="L28" s="80"/>
    </row>
    <row r="29" spans="1:12" s="81" customFormat="1" ht="14.25">
      <c r="B29" s="100"/>
      <c r="C29" s="80"/>
      <c r="D29" s="80"/>
      <c r="E29" s="112"/>
      <c r="F29" s="80"/>
      <c r="G29" s="80"/>
      <c r="H29" s="80"/>
      <c r="I29" s="80"/>
      <c r="J29" s="80"/>
      <c r="K29" s="80"/>
      <c r="L29" s="80"/>
    </row>
  </sheetData>
  <mergeCells count="16">
    <mergeCell ref="A20:D20"/>
    <mergeCell ref="A15:A18"/>
    <mergeCell ref="B15:B18"/>
    <mergeCell ref="C15:C18"/>
    <mergeCell ref="E15:E18"/>
    <mergeCell ref="A19:D19"/>
    <mergeCell ref="L13:L14"/>
    <mergeCell ref="A10:K10"/>
    <mergeCell ref="A11:K11"/>
    <mergeCell ref="A13:A14"/>
    <mergeCell ref="B13:B14"/>
    <mergeCell ref="C13:C14"/>
    <mergeCell ref="D13:D14"/>
    <mergeCell ref="E13:E14"/>
    <mergeCell ref="F13:H13"/>
    <mergeCell ref="I13:K13"/>
  </mergeCells>
  <pageMargins left="0.45" right="0.49" top="0.68" bottom="0.43" header="0.31496062992125984" footer="0.31496062992125984"/>
  <pageSetup paperSize="9" scale="7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823D6-50B2-4B05-9959-1A7F5396AED1}">
  <sheetPr>
    <pageSetUpPr fitToPage="1"/>
  </sheetPr>
  <dimension ref="A10:L31"/>
  <sheetViews>
    <sheetView topLeftCell="A13" zoomScale="99" zoomScaleNormal="99" workbookViewId="0">
      <selection activeCell="D27" sqref="D27"/>
    </sheetView>
  </sheetViews>
  <sheetFormatPr defaultColWidth="8.85546875" defaultRowHeight="15"/>
  <cols>
    <col min="1" max="1" width="32.28515625" style="4" customWidth="1"/>
    <col min="2" max="2" width="17.7109375" style="2" customWidth="1"/>
    <col min="3" max="3" width="23.28515625" style="1" customWidth="1"/>
    <col min="4" max="4" width="37" style="1" customWidth="1"/>
    <col min="5" max="5" width="16" style="3" customWidth="1"/>
    <col min="6" max="6" width="9" style="1" customWidth="1"/>
    <col min="7" max="7" width="8.7109375" style="1" customWidth="1"/>
    <col min="8" max="8" width="9.7109375" style="1" customWidth="1"/>
    <col min="9" max="9" width="16.42578125" style="1" customWidth="1"/>
    <col min="10" max="10" width="12.28515625" style="1" customWidth="1"/>
    <col min="11" max="11" width="11.28515625" style="1" customWidth="1"/>
    <col min="12" max="12" width="29.7109375" style="1" customWidth="1"/>
    <col min="13" max="16384" width="8.85546875" style="4"/>
  </cols>
  <sheetData>
    <row r="10" spans="1:12" ht="18.75">
      <c r="A10" s="159" t="s">
        <v>35</v>
      </c>
      <c r="B10" s="159"/>
      <c r="C10" s="159"/>
      <c r="D10" s="159"/>
      <c r="E10" s="159"/>
      <c r="F10" s="159"/>
      <c r="G10" s="159"/>
      <c r="H10" s="159"/>
      <c r="I10" s="159"/>
      <c r="J10" s="159"/>
      <c r="K10" s="159"/>
    </row>
    <row r="11" spans="1:12">
      <c r="A11" s="264" t="s">
        <v>144</v>
      </c>
      <c r="B11" s="161"/>
      <c r="C11" s="161"/>
      <c r="D11" s="161"/>
      <c r="E11" s="161"/>
      <c r="F11" s="161"/>
      <c r="G11" s="161"/>
      <c r="H11" s="161"/>
      <c r="I11" s="161"/>
      <c r="J11" s="161"/>
      <c r="K11" s="161"/>
    </row>
    <row r="13" spans="1:12" ht="52.15" customHeight="1">
      <c r="A13" s="239" t="s">
        <v>43</v>
      </c>
      <c r="B13" s="239" t="s">
        <v>23</v>
      </c>
      <c r="C13" s="239" t="s">
        <v>24</v>
      </c>
      <c r="D13" s="239" t="s">
        <v>0</v>
      </c>
      <c r="E13" s="245" t="s">
        <v>14</v>
      </c>
      <c r="F13" s="246" t="s">
        <v>15</v>
      </c>
      <c r="G13" s="246"/>
      <c r="H13" s="246"/>
      <c r="I13" s="247" t="s">
        <v>17</v>
      </c>
      <c r="J13" s="247"/>
      <c r="K13" s="247"/>
      <c r="L13" s="239" t="s">
        <v>1</v>
      </c>
    </row>
    <row r="14" spans="1:12" ht="57">
      <c r="A14" s="239"/>
      <c r="B14" s="239"/>
      <c r="C14" s="239"/>
      <c r="D14" s="239"/>
      <c r="E14" s="245"/>
      <c r="F14" s="82" t="s">
        <v>16</v>
      </c>
      <c r="G14" s="82" t="s">
        <v>13</v>
      </c>
      <c r="H14" s="82" t="s">
        <v>20</v>
      </c>
      <c r="I14" s="83" t="s">
        <v>18</v>
      </c>
      <c r="J14" s="83" t="s">
        <v>19</v>
      </c>
      <c r="K14" s="83" t="s">
        <v>20</v>
      </c>
      <c r="L14" s="239"/>
    </row>
    <row r="15" spans="1:12" ht="36.75" customHeight="1">
      <c r="A15" s="261" t="s">
        <v>65</v>
      </c>
      <c r="B15" s="234">
        <v>45992</v>
      </c>
      <c r="C15" s="261" t="s">
        <v>145</v>
      </c>
      <c r="D15" s="121" t="s">
        <v>2</v>
      </c>
      <c r="E15" s="238">
        <v>1</v>
      </c>
      <c r="F15" s="88">
        <v>8</v>
      </c>
      <c r="G15" s="88">
        <v>13</v>
      </c>
      <c r="H15" s="89">
        <f>F15+G15</f>
        <v>21</v>
      </c>
      <c r="I15" s="90">
        <v>1</v>
      </c>
      <c r="J15" s="90"/>
      <c r="K15" s="91">
        <f>I15+J15</f>
        <v>1</v>
      </c>
      <c r="L15" s="97"/>
    </row>
    <row r="16" spans="1:12" ht="38.25" customHeight="1">
      <c r="A16" s="261"/>
      <c r="B16" s="234"/>
      <c r="C16" s="261"/>
      <c r="D16" s="121" t="s">
        <v>6</v>
      </c>
      <c r="E16" s="238"/>
      <c r="F16" s="88">
        <v>5</v>
      </c>
      <c r="G16" s="88">
        <v>4</v>
      </c>
      <c r="H16" s="89">
        <f>F16+G16</f>
        <v>9</v>
      </c>
      <c r="I16" s="90">
        <v>1</v>
      </c>
      <c r="J16" s="90"/>
      <c r="K16" s="91">
        <f t="shared" ref="K16:K17" si="0">I16+J16</f>
        <v>1</v>
      </c>
      <c r="L16" s="97"/>
    </row>
    <row r="17" spans="1:12" ht="30" customHeight="1">
      <c r="A17" s="261"/>
      <c r="B17" s="234"/>
      <c r="C17" s="261"/>
      <c r="D17" s="121" t="s">
        <v>106</v>
      </c>
      <c r="E17" s="238"/>
      <c r="F17" s="88">
        <v>5</v>
      </c>
      <c r="G17" s="88">
        <v>5</v>
      </c>
      <c r="H17" s="89">
        <f t="shared" ref="H17" si="1">F17+G17</f>
        <v>10</v>
      </c>
      <c r="I17" s="90">
        <v>1</v>
      </c>
      <c r="J17" s="90"/>
      <c r="K17" s="91">
        <f t="shared" si="0"/>
        <v>1</v>
      </c>
      <c r="L17" s="97"/>
    </row>
    <row r="18" spans="1:12" s="77" customFormat="1">
      <c r="A18" s="259" t="s">
        <v>26</v>
      </c>
      <c r="B18" s="259"/>
      <c r="C18" s="259"/>
      <c r="D18" s="259"/>
      <c r="E18" s="93">
        <f>E15</f>
        <v>1</v>
      </c>
      <c r="F18" s="93">
        <f t="shared" ref="F18:K18" si="2">SUM(F15:F17)</f>
        <v>18</v>
      </c>
      <c r="G18" s="93">
        <f t="shared" si="2"/>
        <v>22</v>
      </c>
      <c r="H18" s="93">
        <f t="shared" si="2"/>
        <v>40</v>
      </c>
      <c r="I18" s="93">
        <f t="shared" si="2"/>
        <v>3</v>
      </c>
      <c r="J18" s="93">
        <f t="shared" si="2"/>
        <v>0</v>
      </c>
      <c r="K18" s="93">
        <f t="shared" si="2"/>
        <v>3</v>
      </c>
      <c r="L18" s="96"/>
    </row>
    <row r="19" spans="1:12" ht="33.75" customHeight="1">
      <c r="A19" s="261" t="s">
        <v>107</v>
      </c>
      <c r="B19" s="234">
        <v>45993</v>
      </c>
      <c r="C19" s="261" t="s">
        <v>146</v>
      </c>
      <c r="D19" s="121" t="s">
        <v>3</v>
      </c>
      <c r="E19" s="238">
        <v>1</v>
      </c>
      <c r="F19" s="88">
        <v>0</v>
      </c>
      <c r="G19" s="88">
        <v>1</v>
      </c>
      <c r="H19" s="89">
        <f>F19+G19</f>
        <v>1</v>
      </c>
      <c r="I19" s="90">
        <v>1</v>
      </c>
      <c r="J19" s="90"/>
      <c r="K19" s="91">
        <f>I19+J19</f>
        <v>1</v>
      </c>
      <c r="L19" s="97"/>
    </row>
    <row r="20" spans="1:12" ht="30" customHeight="1">
      <c r="A20" s="261"/>
      <c r="B20" s="234"/>
      <c r="C20" s="261"/>
      <c r="D20" s="121" t="s">
        <v>105</v>
      </c>
      <c r="E20" s="238"/>
      <c r="F20" s="88">
        <v>1</v>
      </c>
      <c r="G20" s="88">
        <v>2</v>
      </c>
      <c r="H20" s="89">
        <f t="shared" ref="H20" si="3">F20+G20</f>
        <v>3</v>
      </c>
      <c r="I20" s="90">
        <v>1</v>
      </c>
      <c r="J20" s="90"/>
      <c r="K20" s="91">
        <f t="shared" ref="K20" si="4">I20+J20</f>
        <v>1</v>
      </c>
      <c r="L20" s="97"/>
    </row>
    <row r="21" spans="1:12" s="77" customFormat="1">
      <c r="A21" s="259" t="s">
        <v>26</v>
      </c>
      <c r="B21" s="259"/>
      <c r="C21" s="259"/>
      <c r="D21" s="259"/>
      <c r="E21" s="93">
        <f>E19</f>
        <v>1</v>
      </c>
      <c r="F21" s="93">
        <f>SUM(F19:F20)</f>
        <v>1</v>
      </c>
      <c r="G21" s="93">
        <f t="shared" ref="G21:K21" si="5">SUM(G19:G20)</f>
        <v>3</v>
      </c>
      <c r="H21" s="93">
        <f t="shared" si="5"/>
        <v>4</v>
      </c>
      <c r="I21" s="93">
        <f t="shared" si="5"/>
        <v>2</v>
      </c>
      <c r="J21" s="93">
        <f t="shared" si="5"/>
        <v>0</v>
      </c>
      <c r="K21" s="93">
        <f t="shared" si="5"/>
        <v>2</v>
      </c>
      <c r="L21" s="96"/>
    </row>
    <row r="22" spans="1:12" s="7" customFormat="1">
      <c r="A22" s="260" t="s">
        <v>25</v>
      </c>
      <c r="B22" s="260"/>
      <c r="C22" s="260"/>
      <c r="D22" s="260"/>
      <c r="E22" s="98">
        <f>E18+E21</f>
        <v>2</v>
      </c>
      <c r="F22" s="98">
        <f t="shared" ref="F22:K22" si="6">F18+F21</f>
        <v>19</v>
      </c>
      <c r="G22" s="98">
        <f t="shared" si="6"/>
        <v>25</v>
      </c>
      <c r="H22" s="98">
        <f t="shared" si="6"/>
        <v>44</v>
      </c>
      <c r="I22" s="98">
        <f t="shared" si="6"/>
        <v>5</v>
      </c>
      <c r="J22" s="98">
        <f t="shared" si="6"/>
        <v>0</v>
      </c>
      <c r="K22" s="98">
        <f t="shared" si="6"/>
        <v>5</v>
      </c>
      <c r="L22" s="99"/>
    </row>
    <row r="24" spans="1:12" s="81" customFormat="1" ht="14.25">
      <c r="A24" s="81" t="s">
        <v>29</v>
      </c>
      <c r="B24" s="100"/>
      <c r="C24" s="80"/>
      <c r="D24" s="80"/>
      <c r="E24" s="101" t="s">
        <v>32</v>
      </c>
      <c r="F24" s="80"/>
      <c r="G24" s="80"/>
      <c r="H24" s="80"/>
      <c r="I24" s="80"/>
      <c r="J24" s="80"/>
      <c r="K24" s="80"/>
      <c r="L24" s="80"/>
    </row>
    <row r="25" spans="1:12" s="81" customFormat="1" ht="14.25">
      <c r="B25" s="100"/>
      <c r="C25" s="80"/>
      <c r="D25" s="80"/>
      <c r="E25" s="112"/>
      <c r="F25" s="80"/>
      <c r="G25" s="80"/>
      <c r="H25" s="80"/>
      <c r="I25" s="80"/>
      <c r="J25" s="80"/>
      <c r="K25" s="80"/>
      <c r="L25" s="80"/>
    </row>
    <row r="26" spans="1:12" s="81" customFormat="1" ht="14.25">
      <c r="B26" s="100"/>
      <c r="C26" s="80"/>
      <c r="D26" s="80"/>
      <c r="E26" s="112"/>
      <c r="F26" s="80"/>
      <c r="G26" s="80"/>
      <c r="H26" s="80"/>
      <c r="I26" s="80"/>
      <c r="J26" s="80"/>
      <c r="K26" s="80"/>
      <c r="L26" s="80"/>
    </row>
    <row r="27" spans="1:12" s="81" customFormat="1" ht="14.25">
      <c r="B27" s="100"/>
      <c r="C27" s="80"/>
      <c r="D27" s="80"/>
      <c r="E27" s="112"/>
      <c r="F27" s="80"/>
      <c r="G27" s="80"/>
      <c r="H27" s="80"/>
      <c r="I27" s="80"/>
      <c r="J27" s="80"/>
      <c r="K27" s="80"/>
      <c r="L27" s="80"/>
    </row>
    <row r="28" spans="1:12" s="106" customFormat="1" ht="14.25">
      <c r="A28" s="102" t="s">
        <v>30</v>
      </c>
      <c r="B28" s="103"/>
      <c r="C28" s="104"/>
      <c r="D28" s="104"/>
      <c r="E28" s="105" t="s">
        <v>96</v>
      </c>
      <c r="F28" s="104"/>
      <c r="G28" s="104"/>
      <c r="H28" s="104"/>
      <c r="I28" s="104"/>
      <c r="J28" s="104"/>
      <c r="K28" s="104"/>
      <c r="L28" s="104"/>
    </row>
    <row r="29" spans="1:12" s="111" customFormat="1" ht="12.75">
      <c r="A29" s="107" t="s">
        <v>31</v>
      </c>
      <c r="B29" s="108"/>
      <c r="C29" s="109"/>
      <c r="D29" s="109"/>
      <c r="E29" s="110" t="s">
        <v>97</v>
      </c>
      <c r="F29" s="109"/>
      <c r="G29" s="109"/>
      <c r="H29" s="109"/>
      <c r="I29" s="109"/>
      <c r="J29" s="109"/>
      <c r="K29" s="109"/>
      <c r="L29" s="109"/>
    </row>
    <row r="30" spans="1:12" s="81" customFormat="1" ht="14.25">
      <c r="B30" s="100"/>
      <c r="C30" s="80"/>
      <c r="D30" s="80"/>
      <c r="E30" s="112"/>
      <c r="F30" s="80"/>
      <c r="G30" s="80"/>
      <c r="H30" s="80"/>
      <c r="I30" s="80"/>
      <c r="J30" s="80"/>
      <c r="K30" s="80"/>
      <c r="L30" s="80"/>
    </row>
    <row r="31" spans="1:12" s="81" customFormat="1" ht="14.25">
      <c r="B31" s="100"/>
      <c r="C31" s="80"/>
      <c r="D31" s="80"/>
      <c r="E31" s="112"/>
      <c r="F31" s="80"/>
      <c r="G31" s="80"/>
      <c r="H31" s="80"/>
      <c r="I31" s="80"/>
      <c r="J31" s="80"/>
      <c r="K31" s="80"/>
      <c r="L31" s="80"/>
    </row>
  </sheetData>
  <mergeCells count="21">
    <mergeCell ref="A22:D22"/>
    <mergeCell ref="L13:L14"/>
    <mergeCell ref="A15:A17"/>
    <mergeCell ref="B15:B17"/>
    <mergeCell ref="C15:C17"/>
    <mergeCell ref="E15:E17"/>
    <mergeCell ref="A18:D18"/>
    <mergeCell ref="A19:A20"/>
    <mergeCell ref="B19:B20"/>
    <mergeCell ref="C19:C20"/>
    <mergeCell ref="E19:E20"/>
    <mergeCell ref="A21:D21"/>
    <mergeCell ref="A10:K10"/>
    <mergeCell ref="A11:K11"/>
    <mergeCell ref="A13:A14"/>
    <mergeCell ref="B13:B14"/>
    <mergeCell ref="C13:C14"/>
    <mergeCell ref="D13:D14"/>
    <mergeCell ref="E13:E14"/>
    <mergeCell ref="F13:H13"/>
    <mergeCell ref="I13:K13"/>
  </mergeCells>
  <pageMargins left="0.45" right="0.49" top="0.68" bottom="0.43" header="0.31496062992125984" footer="0.31496062992125984"/>
  <pageSetup paperSize="9" scale="7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21</vt:i4>
      </vt:variant>
    </vt:vector>
  </HeadingPairs>
  <TitlesOfParts>
    <vt:vector size="34" baseType="lpstr">
      <vt:lpstr>SUMMARY</vt:lpstr>
      <vt:lpstr>JAN</vt:lpstr>
      <vt:lpstr>FEB</vt:lpstr>
      <vt:lpstr>MAR</vt:lpstr>
      <vt:lpstr>APR</vt:lpstr>
      <vt:lpstr>MAY</vt:lpstr>
      <vt:lpstr>JUNE</vt:lpstr>
      <vt:lpstr>JULY</vt:lpstr>
      <vt:lpstr>AUG</vt:lpstr>
      <vt:lpstr>SEP</vt:lpstr>
      <vt:lpstr>OCT</vt:lpstr>
      <vt:lpstr>NOV</vt:lpstr>
      <vt:lpstr>DEC</vt:lpstr>
      <vt:lpstr>APR!Print_Area</vt:lpstr>
      <vt:lpstr>AUG!Print_Area</vt:lpstr>
      <vt:lpstr>DEC!Print_Area</vt:lpstr>
      <vt:lpstr>FEB!Print_Area</vt:lpstr>
      <vt:lpstr>JAN!Print_Area</vt:lpstr>
      <vt:lpstr>JULY!Print_Area</vt:lpstr>
      <vt:lpstr>JUNE!Print_Area</vt:lpstr>
      <vt:lpstr>MAR!Print_Area</vt:lpstr>
      <vt:lpstr>MAY!Print_Area</vt:lpstr>
      <vt:lpstr>NOV!Print_Area</vt:lpstr>
      <vt:lpstr>OCT!Print_Area</vt:lpstr>
      <vt:lpstr>SEP!Print_Area</vt:lpstr>
      <vt:lpstr>SUMMARY!Print_Area</vt:lpstr>
      <vt:lpstr>AUG!Print_Titles</vt:lpstr>
      <vt:lpstr>DEC!Print_Titles</vt:lpstr>
      <vt:lpstr>JULY!Print_Titles</vt:lpstr>
      <vt:lpstr>JUNE!Print_Titles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Charo Lacre</dc:creator>
  <cp:lastModifiedBy>Ajean Torralba</cp:lastModifiedBy>
  <cp:lastPrinted>2025-12-11T07:20:51Z</cp:lastPrinted>
  <dcterms:created xsi:type="dcterms:W3CDTF">2025-02-24T06:35:00Z</dcterms:created>
  <dcterms:modified xsi:type="dcterms:W3CDTF">2026-03-04T08:58:08Z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D4A3D893A2054B0789E8A67C61B1815B_12</vt:lpwstr>
  </property>
  <property fmtid="{D5CDD505-2E9C-101B-9397-08002B2CF9AE}" pid="3" name="KSOProductBuildVer">
    <vt:lpwstr>1033-12.2.0.20326</vt:lpwstr>
  </property>
</Properties>
</file>